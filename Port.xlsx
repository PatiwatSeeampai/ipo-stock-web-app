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Other\4_2\"/>
    </mc:Choice>
  </mc:AlternateContent>
  <xr:revisionPtr revIDLastSave="0" documentId="13_ncr:1_{80037AF9-30D1-4F38-BC0C-7D4383685BBC}" xr6:coauthVersionLast="47" xr6:coauthVersionMax="47" xr10:uidLastSave="{00000000-0000-0000-0000-000000000000}"/>
  <bookViews>
    <workbookView xWindow="-28905" yWindow="75" windowWidth="14610" windowHeight="15585" xr2:uid="{1F38F332-AC1A-4D0C-BEA8-9B84A8D066AC}"/>
  </bookViews>
  <sheets>
    <sheet name="bas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C50" i="1"/>
  <c r="HX40" i="1"/>
  <c r="HY40" i="1"/>
  <c r="HX41" i="1"/>
  <c r="HY41" i="1"/>
  <c r="HX42" i="1"/>
  <c r="HY42" i="1"/>
  <c r="HX43" i="1"/>
  <c r="HY43" i="1"/>
  <c r="HX44" i="1"/>
  <c r="HY44" i="1"/>
  <c r="HX45" i="1"/>
  <c r="HY45" i="1"/>
  <c r="HX46" i="1"/>
  <c r="HY46" i="1"/>
  <c r="HX47" i="1"/>
  <c r="HY47" i="1"/>
  <c r="HX48" i="1"/>
  <c r="HY48" i="1"/>
  <c r="HX49" i="1"/>
  <c r="HY49" i="1"/>
  <c r="HX50" i="1"/>
  <c r="HY50" i="1"/>
  <c r="HX51" i="1"/>
  <c r="HY51" i="1"/>
  <c r="HX33" i="1"/>
  <c r="HY33" i="1"/>
  <c r="HX27" i="1"/>
  <c r="HX26" i="1"/>
  <c r="HY26" i="1"/>
  <c r="HY27" i="1" s="1"/>
  <c r="HX16" i="1"/>
  <c r="HY16" i="1"/>
  <c r="HX12" i="1"/>
  <c r="HY12" i="1"/>
  <c r="HX11" i="1"/>
  <c r="HY11" i="1"/>
  <c r="HW12" i="1"/>
  <c r="HW16" i="1"/>
  <c r="HW49" i="1" s="1"/>
  <c r="HX8" i="1"/>
  <c r="HY8" i="1"/>
  <c r="HF45" i="1"/>
  <c r="HW40" i="1"/>
  <c r="HW41" i="1"/>
  <c r="HW43" i="1"/>
  <c r="HW44" i="1"/>
  <c r="HW45" i="1"/>
  <c r="HW47" i="1"/>
  <c r="HW48" i="1"/>
  <c r="HW50" i="1"/>
  <c r="HW51" i="1"/>
  <c r="HW33" i="1"/>
  <c r="HW26" i="1"/>
  <c r="HW27" i="1" s="1"/>
  <c r="HW46" i="1" s="1"/>
  <c r="HW11" i="1"/>
  <c r="HW8" i="1"/>
  <c r="HW42" i="1" s="1"/>
  <c r="HQ43" i="1"/>
  <c r="HR43" i="1"/>
  <c r="HS43" i="1"/>
  <c r="HT43" i="1"/>
  <c r="HU43" i="1"/>
  <c r="HV43" i="1"/>
  <c r="HQ44" i="1"/>
  <c r="HR44" i="1"/>
  <c r="HS44" i="1"/>
  <c r="HT44" i="1"/>
  <c r="HU44" i="1"/>
  <c r="HV44" i="1"/>
  <c r="HQ47" i="1"/>
  <c r="HR47" i="1"/>
  <c r="HS47" i="1"/>
  <c r="HT47" i="1"/>
  <c r="HU47" i="1"/>
  <c r="HV47" i="1"/>
  <c r="HQ48" i="1"/>
  <c r="HR48" i="1"/>
  <c r="HS48" i="1"/>
  <c r="HT48" i="1"/>
  <c r="HU48" i="1"/>
  <c r="HV48" i="1"/>
  <c r="HR49" i="1"/>
  <c r="HS49" i="1"/>
  <c r="HT49" i="1"/>
  <c r="HU49" i="1"/>
  <c r="HV49" i="1"/>
  <c r="HQ50" i="1"/>
  <c r="HR50" i="1"/>
  <c r="HS50" i="1"/>
  <c r="HT50" i="1"/>
  <c r="HU50" i="1"/>
  <c r="HV50" i="1"/>
  <c r="HQ51" i="1"/>
  <c r="HR51" i="1"/>
  <c r="HS51" i="1"/>
  <c r="HT51" i="1"/>
  <c r="HU51" i="1"/>
  <c r="HV51" i="1"/>
  <c r="HQ41" i="1"/>
  <c r="HR41" i="1"/>
  <c r="HS41" i="1"/>
  <c r="HT41" i="1"/>
  <c r="HU41" i="1"/>
  <c r="HV41" i="1"/>
  <c r="HQ40" i="1"/>
  <c r="HR40" i="1"/>
  <c r="HS40" i="1"/>
  <c r="HT40" i="1"/>
  <c r="HU40" i="1"/>
  <c r="HV40" i="1"/>
  <c r="HQ33" i="1"/>
  <c r="HQ45" i="1" s="1"/>
  <c r="HR33" i="1"/>
  <c r="HR45" i="1" s="1"/>
  <c r="HS33" i="1"/>
  <c r="HS45" i="1" s="1"/>
  <c r="HT33" i="1"/>
  <c r="HT45" i="1" s="1"/>
  <c r="HU33" i="1"/>
  <c r="HU45" i="1" s="1"/>
  <c r="HV33" i="1"/>
  <c r="HV45" i="1" s="1"/>
  <c r="HQ26" i="1"/>
  <c r="HQ27" i="1" s="1"/>
  <c r="HQ46" i="1" s="1"/>
  <c r="HR26" i="1"/>
  <c r="HR27" i="1" s="1"/>
  <c r="HR46" i="1" s="1"/>
  <c r="HS26" i="1"/>
  <c r="HS27" i="1" s="1"/>
  <c r="HS46" i="1" s="1"/>
  <c r="HT26" i="1"/>
  <c r="HT27" i="1" s="1"/>
  <c r="HT46" i="1" s="1"/>
  <c r="HU26" i="1"/>
  <c r="HU27" i="1" s="1"/>
  <c r="HU46" i="1" s="1"/>
  <c r="HV26" i="1"/>
  <c r="HV27" i="1" s="1"/>
  <c r="HV46" i="1" s="1"/>
  <c r="HQ16" i="1"/>
  <c r="HQ49" i="1" s="1"/>
  <c r="HR16" i="1"/>
  <c r="HS16" i="1"/>
  <c r="HT16" i="1"/>
  <c r="HU16" i="1"/>
  <c r="HV16" i="1"/>
  <c r="HR12" i="1"/>
  <c r="HT12" i="1"/>
  <c r="HU12" i="1"/>
  <c r="HV12" i="1"/>
  <c r="HQ11" i="1"/>
  <c r="HQ12" i="1" s="1"/>
  <c r="HR11" i="1"/>
  <c r="HS11" i="1"/>
  <c r="HS12" i="1" s="1"/>
  <c r="HT11" i="1"/>
  <c r="HU11" i="1"/>
  <c r="HV11" i="1"/>
  <c r="HQ8" i="1"/>
  <c r="HQ42" i="1" s="1"/>
  <c r="HR8" i="1"/>
  <c r="HR42" i="1" s="1"/>
  <c r="HS8" i="1"/>
  <c r="HS42" i="1" s="1"/>
  <c r="HT8" i="1"/>
  <c r="HT42" i="1" s="1"/>
  <c r="HU8" i="1"/>
  <c r="HU42" i="1" s="1"/>
  <c r="HV8" i="1"/>
  <c r="HV42" i="1" s="1"/>
  <c r="HJ8" i="1"/>
  <c r="HJ42" i="1" s="1"/>
  <c r="HK8" i="1"/>
  <c r="HL8" i="1"/>
  <c r="HM8" i="1"/>
  <c r="HN8" i="1"/>
  <c r="HO8" i="1"/>
  <c r="HO42" i="1" s="1"/>
  <c r="HP8" i="1"/>
  <c r="HP42" i="1" s="1"/>
  <c r="HP16" i="1"/>
  <c r="HP49" i="1" s="1"/>
  <c r="HN40" i="1"/>
  <c r="HO40" i="1"/>
  <c r="HP40" i="1"/>
  <c r="HN41" i="1"/>
  <c r="HO41" i="1"/>
  <c r="HP41" i="1"/>
  <c r="HN42" i="1"/>
  <c r="HN43" i="1"/>
  <c r="HO43" i="1"/>
  <c r="HP43" i="1"/>
  <c r="HN44" i="1"/>
  <c r="HO44" i="1"/>
  <c r="HP44" i="1"/>
  <c r="HN45" i="1"/>
  <c r="HO45" i="1"/>
  <c r="HN47" i="1"/>
  <c r="HO47" i="1"/>
  <c r="HP47" i="1"/>
  <c r="HN48" i="1"/>
  <c r="HO48" i="1"/>
  <c r="HP48" i="1"/>
  <c r="HN49" i="1"/>
  <c r="HO49" i="1"/>
  <c r="HN50" i="1"/>
  <c r="HO50" i="1"/>
  <c r="HP50" i="1"/>
  <c r="HN51" i="1"/>
  <c r="HO51" i="1"/>
  <c r="HP51" i="1"/>
  <c r="HN33" i="1"/>
  <c r="HO33" i="1"/>
  <c r="HP33" i="1"/>
  <c r="HP45" i="1" s="1"/>
  <c r="HN26" i="1"/>
  <c r="HN27" i="1" s="1"/>
  <c r="HN46" i="1" s="1"/>
  <c r="HO26" i="1"/>
  <c r="HO27" i="1" s="1"/>
  <c r="HO46" i="1" s="1"/>
  <c r="HP26" i="1"/>
  <c r="HP27" i="1" s="1"/>
  <c r="HP46" i="1" s="1"/>
  <c r="HN16" i="1"/>
  <c r="HO16" i="1"/>
  <c r="HO12" i="1"/>
  <c r="HN11" i="1"/>
  <c r="HN12" i="1" s="1"/>
  <c r="HO11" i="1"/>
  <c r="HP11" i="1"/>
  <c r="HP12" i="1" s="1"/>
  <c r="HM16" i="1"/>
  <c r="HM49" i="1" s="1"/>
  <c r="HJ51" i="1"/>
  <c r="HK51" i="1"/>
  <c r="HL51" i="1"/>
  <c r="HM51" i="1"/>
  <c r="HJ50" i="1"/>
  <c r="HK50" i="1"/>
  <c r="HL50" i="1"/>
  <c r="HM50" i="1"/>
  <c r="HJ48" i="1"/>
  <c r="HK48" i="1"/>
  <c r="HL48" i="1"/>
  <c r="HM48" i="1"/>
  <c r="HJ47" i="1"/>
  <c r="HK47" i="1"/>
  <c r="HL47" i="1"/>
  <c r="HM47" i="1"/>
  <c r="HJ44" i="1"/>
  <c r="HK44" i="1"/>
  <c r="HL44" i="1"/>
  <c r="HM44" i="1"/>
  <c r="HJ43" i="1"/>
  <c r="HK43" i="1"/>
  <c r="HL43" i="1"/>
  <c r="HM43" i="1"/>
  <c r="HK42" i="1"/>
  <c r="HJ41" i="1"/>
  <c r="HK41" i="1"/>
  <c r="HL41" i="1"/>
  <c r="HM41" i="1"/>
  <c r="HJ40" i="1"/>
  <c r="HK40" i="1"/>
  <c r="HL40" i="1"/>
  <c r="HM40" i="1"/>
  <c r="HJ33" i="1"/>
  <c r="HJ45" i="1" s="1"/>
  <c r="HK33" i="1"/>
  <c r="HK45" i="1" s="1"/>
  <c r="HL33" i="1"/>
  <c r="HL45" i="1" s="1"/>
  <c r="HM33" i="1"/>
  <c r="HM45" i="1" s="1"/>
  <c r="HJ26" i="1"/>
  <c r="HJ27" i="1" s="1"/>
  <c r="HJ46" i="1" s="1"/>
  <c r="HK26" i="1"/>
  <c r="HK27" i="1" s="1"/>
  <c r="HK46" i="1" s="1"/>
  <c r="HL26" i="1"/>
  <c r="HL27" i="1" s="1"/>
  <c r="HL46" i="1" s="1"/>
  <c r="HM26" i="1"/>
  <c r="HM27" i="1" s="1"/>
  <c r="HM46" i="1" s="1"/>
  <c r="HJ16" i="1"/>
  <c r="HJ49" i="1" s="1"/>
  <c r="HK16" i="1"/>
  <c r="HK49" i="1" s="1"/>
  <c r="HL16" i="1"/>
  <c r="HL49" i="1" s="1"/>
  <c r="HJ11" i="1"/>
  <c r="HJ12" i="1" s="1"/>
  <c r="HK11" i="1"/>
  <c r="HK12" i="1" s="1"/>
  <c r="HL11" i="1"/>
  <c r="HL12" i="1" s="1"/>
  <c r="HM11" i="1"/>
  <c r="HM12" i="1" s="1"/>
  <c r="HL42" i="1"/>
  <c r="HM42" i="1"/>
  <c r="HI11" i="1"/>
  <c r="HI12" i="1" s="1"/>
  <c r="HI16" i="1"/>
  <c r="HI49" i="1"/>
  <c r="FP51" i="1"/>
  <c r="FQ51" i="1"/>
  <c r="FR51" i="1"/>
  <c r="FS51" i="1"/>
  <c r="FT51" i="1"/>
  <c r="FU51" i="1"/>
  <c r="FV51" i="1"/>
  <c r="FW51" i="1"/>
  <c r="FX51" i="1"/>
  <c r="FY51" i="1"/>
  <c r="FZ51" i="1"/>
  <c r="GA51" i="1"/>
  <c r="GB51" i="1"/>
  <c r="GC51" i="1"/>
  <c r="GD51" i="1"/>
  <c r="GE51" i="1"/>
  <c r="GF51" i="1"/>
  <c r="GG51" i="1"/>
  <c r="GH51" i="1"/>
  <c r="GI51" i="1"/>
  <c r="GJ51" i="1"/>
  <c r="GK51" i="1"/>
  <c r="GL51" i="1"/>
  <c r="GM51" i="1"/>
  <c r="GN51" i="1"/>
  <c r="GO51" i="1"/>
  <c r="GP51" i="1"/>
  <c r="GQ51" i="1"/>
  <c r="GR51" i="1"/>
  <c r="GS51" i="1"/>
  <c r="GT51" i="1"/>
  <c r="GU51" i="1"/>
  <c r="GV51" i="1"/>
  <c r="GW51" i="1"/>
  <c r="GX51" i="1"/>
  <c r="GY51" i="1"/>
  <c r="GZ51" i="1"/>
  <c r="HA51" i="1"/>
  <c r="HB51" i="1"/>
  <c r="HC51" i="1"/>
  <c r="HD51" i="1"/>
  <c r="HE51" i="1"/>
  <c r="HF51" i="1"/>
  <c r="HG51" i="1"/>
  <c r="HH51" i="1"/>
  <c r="HI51" i="1"/>
  <c r="FP50" i="1"/>
  <c r="FQ50" i="1"/>
  <c r="FR50" i="1"/>
  <c r="FS50" i="1"/>
  <c r="FT50" i="1"/>
  <c r="FU50" i="1"/>
  <c r="FV50" i="1"/>
  <c r="FW50" i="1"/>
  <c r="FX50" i="1"/>
  <c r="FY50" i="1"/>
  <c r="FZ50" i="1"/>
  <c r="GA50" i="1"/>
  <c r="GB50" i="1"/>
  <c r="GC50" i="1"/>
  <c r="GD50" i="1"/>
  <c r="GE50" i="1"/>
  <c r="GF50" i="1"/>
  <c r="GG50" i="1"/>
  <c r="GH50" i="1"/>
  <c r="GI50" i="1"/>
  <c r="GJ50" i="1"/>
  <c r="GK50" i="1"/>
  <c r="GL50" i="1"/>
  <c r="GM50" i="1"/>
  <c r="GN50" i="1"/>
  <c r="GO50" i="1"/>
  <c r="GP50" i="1"/>
  <c r="GQ50" i="1"/>
  <c r="GR50" i="1"/>
  <c r="GS50" i="1"/>
  <c r="GT50" i="1"/>
  <c r="GU50" i="1"/>
  <c r="GV50" i="1"/>
  <c r="GW50" i="1"/>
  <c r="GX50" i="1"/>
  <c r="GY50" i="1"/>
  <c r="GZ50" i="1"/>
  <c r="HA50" i="1"/>
  <c r="HB50" i="1"/>
  <c r="HC50" i="1"/>
  <c r="HD50" i="1"/>
  <c r="HE50" i="1"/>
  <c r="HF50" i="1"/>
  <c r="HG50" i="1"/>
  <c r="HH50" i="1"/>
  <c r="HI50" i="1"/>
  <c r="FP49" i="1"/>
  <c r="FQ49" i="1"/>
  <c r="GN49" i="1"/>
  <c r="GY49" i="1"/>
  <c r="GZ49" i="1"/>
  <c r="HA49" i="1"/>
  <c r="FP48" i="1"/>
  <c r="FQ48" i="1"/>
  <c r="FR48" i="1"/>
  <c r="FS48" i="1"/>
  <c r="FT48" i="1"/>
  <c r="FU48" i="1"/>
  <c r="FV48" i="1"/>
  <c r="FW48" i="1"/>
  <c r="FX48" i="1"/>
  <c r="FY48" i="1"/>
  <c r="FZ48" i="1"/>
  <c r="GA48" i="1"/>
  <c r="GB48" i="1"/>
  <c r="GC48" i="1"/>
  <c r="GD48" i="1"/>
  <c r="GE48" i="1"/>
  <c r="GF48" i="1"/>
  <c r="GG48" i="1"/>
  <c r="GH48" i="1"/>
  <c r="GI48" i="1"/>
  <c r="GJ48" i="1"/>
  <c r="GK48" i="1"/>
  <c r="GL48" i="1"/>
  <c r="GM48" i="1"/>
  <c r="GN48" i="1"/>
  <c r="GO48" i="1"/>
  <c r="GP48" i="1"/>
  <c r="GQ48" i="1"/>
  <c r="GR48" i="1"/>
  <c r="GS48" i="1"/>
  <c r="GT48" i="1"/>
  <c r="GU48" i="1"/>
  <c r="GV48" i="1"/>
  <c r="GW48" i="1"/>
  <c r="GX48" i="1"/>
  <c r="GY48" i="1"/>
  <c r="GZ48" i="1"/>
  <c r="HA48" i="1"/>
  <c r="HB48" i="1"/>
  <c r="HC48" i="1"/>
  <c r="HD48" i="1"/>
  <c r="HE48" i="1"/>
  <c r="HF48" i="1"/>
  <c r="HG48" i="1"/>
  <c r="HH48" i="1"/>
  <c r="HI48" i="1"/>
  <c r="FP47" i="1"/>
  <c r="FQ47" i="1"/>
  <c r="FR47" i="1"/>
  <c r="FS47" i="1"/>
  <c r="FT47" i="1"/>
  <c r="FU47" i="1"/>
  <c r="FV47" i="1"/>
  <c r="FW47" i="1"/>
  <c r="FX47" i="1"/>
  <c r="FY47" i="1"/>
  <c r="FZ47" i="1"/>
  <c r="GA47" i="1"/>
  <c r="GB47" i="1"/>
  <c r="GC47" i="1"/>
  <c r="GD47" i="1"/>
  <c r="GE47" i="1"/>
  <c r="GF47" i="1"/>
  <c r="GG47" i="1"/>
  <c r="GH47" i="1"/>
  <c r="GI47" i="1"/>
  <c r="GJ47" i="1"/>
  <c r="GK47" i="1"/>
  <c r="GL47" i="1"/>
  <c r="GM47" i="1"/>
  <c r="GN47" i="1"/>
  <c r="GO47" i="1"/>
  <c r="GP47" i="1"/>
  <c r="GQ47" i="1"/>
  <c r="GR47" i="1"/>
  <c r="GS47" i="1"/>
  <c r="GT47" i="1"/>
  <c r="GU47" i="1"/>
  <c r="GV47" i="1"/>
  <c r="GW47" i="1"/>
  <c r="GX47" i="1"/>
  <c r="GY47" i="1"/>
  <c r="GZ47" i="1"/>
  <c r="HA47" i="1"/>
  <c r="HB47" i="1"/>
  <c r="HC47" i="1"/>
  <c r="HD47" i="1"/>
  <c r="HE47" i="1"/>
  <c r="HF47" i="1"/>
  <c r="HG47" i="1"/>
  <c r="HH47" i="1"/>
  <c r="HI47" i="1"/>
  <c r="FX46" i="1"/>
  <c r="FZ46" i="1"/>
  <c r="FP44" i="1"/>
  <c r="FQ44" i="1"/>
  <c r="FR44" i="1"/>
  <c r="FS44" i="1"/>
  <c r="FT44" i="1"/>
  <c r="FU44" i="1"/>
  <c r="FV44" i="1"/>
  <c r="FW44" i="1"/>
  <c r="FX44" i="1"/>
  <c r="FY44" i="1"/>
  <c r="FZ44" i="1"/>
  <c r="GA44" i="1"/>
  <c r="GB44" i="1"/>
  <c r="GC44" i="1"/>
  <c r="GD44" i="1"/>
  <c r="GE44" i="1"/>
  <c r="GF44" i="1"/>
  <c r="GG44" i="1"/>
  <c r="GH44" i="1"/>
  <c r="GI44" i="1"/>
  <c r="GJ44" i="1"/>
  <c r="GK44" i="1"/>
  <c r="GL44" i="1"/>
  <c r="GM44" i="1"/>
  <c r="GN44" i="1"/>
  <c r="GO44" i="1"/>
  <c r="GP44" i="1"/>
  <c r="GQ44" i="1"/>
  <c r="GR44" i="1"/>
  <c r="GS44" i="1"/>
  <c r="GT44" i="1"/>
  <c r="GU44" i="1"/>
  <c r="GV44" i="1"/>
  <c r="GW44" i="1"/>
  <c r="GX44" i="1"/>
  <c r="GY44" i="1"/>
  <c r="GZ44" i="1"/>
  <c r="HA44" i="1"/>
  <c r="HB44" i="1"/>
  <c r="HC44" i="1"/>
  <c r="HD44" i="1"/>
  <c r="HE44" i="1"/>
  <c r="HF44" i="1"/>
  <c r="HG44" i="1"/>
  <c r="HH44" i="1"/>
  <c r="HI44" i="1"/>
  <c r="FP43" i="1"/>
  <c r="FQ43" i="1"/>
  <c r="FR43" i="1"/>
  <c r="FS43" i="1"/>
  <c r="FT43" i="1"/>
  <c r="FU43" i="1"/>
  <c r="FV43" i="1"/>
  <c r="FW43" i="1"/>
  <c r="FX43" i="1"/>
  <c r="FY43" i="1"/>
  <c r="FZ43" i="1"/>
  <c r="GA43" i="1"/>
  <c r="GB43" i="1"/>
  <c r="GC43" i="1"/>
  <c r="GD43" i="1"/>
  <c r="GE43" i="1"/>
  <c r="GF43" i="1"/>
  <c r="GG43" i="1"/>
  <c r="GH43" i="1"/>
  <c r="GI43" i="1"/>
  <c r="GJ43" i="1"/>
  <c r="GK43" i="1"/>
  <c r="GL43" i="1"/>
  <c r="GM43" i="1"/>
  <c r="GN43" i="1"/>
  <c r="GO43" i="1"/>
  <c r="GP43" i="1"/>
  <c r="GQ43" i="1"/>
  <c r="GR43" i="1"/>
  <c r="GS43" i="1"/>
  <c r="GT43" i="1"/>
  <c r="GU43" i="1"/>
  <c r="GV43" i="1"/>
  <c r="GW43" i="1"/>
  <c r="GX43" i="1"/>
  <c r="GY43" i="1"/>
  <c r="GZ43" i="1"/>
  <c r="HA43" i="1"/>
  <c r="HB43" i="1"/>
  <c r="HC43" i="1"/>
  <c r="HD43" i="1"/>
  <c r="HE43" i="1"/>
  <c r="HF43" i="1"/>
  <c r="HG43" i="1"/>
  <c r="HH43" i="1"/>
  <c r="HI43" i="1"/>
  <c r="FP41" i="1"/>
  <c r="FQ41" i="1"/>
  <c r="FR41" i="1"/>
  <c r="FS41" i="1"/>
  <c r="FT41" i="1"/>
  <c r="FU41" i="1"/>
  <c r="FV41" i="1"/>
  <c r="FW41" i="1"/>
  <c r="FX41" i="1"/>
  <c r="FY41" i="1"/>
  <c r="FZ41" i="1"/>
  <c r="GA41" i="1"/>
  <c r="GB41" i="1"/>
  <c r="GC41" i="1"/>
  <c r="GD41" i="1"/>
  <c r="GE41" i="1"/>
  <c r="GF41" i="1"/>
  <c r="GG41" i="1"/>
  <c r="GH41" i="1"/>
  <c r="GI41" i="1"/>
  <c r="GJ41" i="1"/>
  <c r="GK41" i="1"/>
  <c r="GL41" i="1"/>
  <c r="GM41" i="1"/>
  <c r="GN41" i="1"/>
  <c r="GO41" i="1"/>
  <c r="GP41" i="1"/>
  <c r="GQ41" i="1"/>
  <c r="GR41" i="1"/>
  <c r="GS41" i="1"/>
  <c r="GT41" i="1"/>
  <c r="GU41" i="1"/>
  <c r="GV41" i="1"/>
  <c r="GW41" i="1"/>
  <c r="GX41" i="1"/>
  <c r="GY41" i="1"/>
  <c r="GZ41" i="1"/>
  <c r="HA41" i="1"/>
  <c r="HB41" i="1"/>
  <c r="HC41" i="1"/>
  <c r="HD41" i="1"/>
  <c r="HE41" i="1"/>
  <c r="HF41" i="1"/>
  <c r="HG41" i="1"/>
  <c r="HH41" i="1"/>
  <c r="HI41" i="1"/>
  <c r="FP40" i="1"/>
  <c r="FQ40" i="1"/>
  <c r="FR40" i="1"/>
  <c r="FS40" i="1"/>
  <c r="FT40" i="1"/>
  <c r="FU40" i="1"/>
  <c r="FV40" i="1"/>
  <c r="FW40" i="1"/>
  <c r="FX40" i="1"/>
  <c r="FY40" i="1"/>
  <c r="FZ40" i="1"/>
  <c r="GA40" i="1"/>
  <c r="GB40" i="1"/>
  <c r="GC40" i="1"/>
  <c r="GD40" i="1"/>
  <c r="GE40" i="1"/>
  <c r="GF40" i="1"/>
  <c r="GG40" i="1"/>
  <c r="GH40" i="1"/>
  <c r="GI40" i="1"/>
  <c r="GJ40" i="1"/>
  <c r="GK40" i="1"/>
  <c r="GL40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GZ40" i="1"/>
  <c r="HA40" i="1"/>
  <c r="HB40" i="1"/>
  <c r="HC40" i="1"/>
  <c r="HD40" i="1"/>
  <c r="HE40" i="1"/>
  <c r="HF40" i="1"/>
  <c r="HG40" i="1"/>
  <c r="HH40" i="1"/>
  <c r="HI40" i="1"/>
  <c r="FP33" i="1"/>
  <c r="FP45" i="1" s="1"/>
  <c r="FQ33" i="1"/>
  <c r="FQ45" i="1" s="1"/>
  <c r="FR33" i="1"/>
  <c r="FR45" i="1" s="1"/>
  <c r="FS33" i="1"/>
  <c r="FS45" i="1" s="1"/>
  <c r="FT33" i="1"/>
  <c r="FT45" i="1" s="1"/>
  <c r="FU33" i="1"/>
  <c r="FU45" i="1" s="1"/>
  <c r="FV33" i="1"/>
  <c r="FV45" i="1" s="1"/>
  <c r="FW33" i="1"/>
  <c r="FW45" i="1" s="1"/>
  <c r="FX33" i="1"/>
  <c r="FX45" i="1" s="1"/>
  <c r="FY33" i="1"/>
  <c r="FY45" i="1" s="1"/>
  <c r="FZ33" i="1"/>
  <c r="FZ45" i="1" s="1"/>
  <c r="GA33" i="1"/>
  <c r="GA45" i="1" s="1"/>
  <c r="GB33" i="1"/>
  <c r="GB45" i="1" s="1"/>
  <c r="GC33" i="1"/>
  <c r="GC45" i="1" s="1"/>
  <c r="GD33" i="1"/>
  <c r="GD45" i="1" s="1"/>
  <c r="GE33" i="1"/>
  <c r="GE45" i="1" s="1"/>
  <c r="GF33" i="1"/>
  <c r="GF45" i="1" s="1"/>
  <c r="GG33" i="1"/>
  <c r="GG45" i="1" s="1"/>
  <c r="GH33" i="1"/>
  <c r="GH45" i="1" s="1"/>
  <c r="GI33" i="1"/>
  <c r="GI45" i="1" s="1"/>
  <c r="GJ33" i="1"/>
  <c r="GJ45" i="1" s="1"/>
  <c r="GK33" i="1"/>
  <c r="GK45" i="1" s="1"/>
  <c r="GL33" i="1"/>
  <c r="GL45" i="1" s="1"/>
  <c r="GM33" i="1"/>
  <c r="GM45" i="1" s="1"/>
  <c r="GN33" i="1"/>
  <c r="GN45" i="1" s="1"/>
  <c r="GO33" i="1"/>
  <c r="GO45" i="1" s="1"/>
  <c r="GP33" i="1"/>
  <c r="GP45" i="1" s="1"/>
  <c r="GQ33" i="1"/>
  <c r="GQ45" i="1" s="1"/>
  <c r="GR33" i="1"/>
  <c r="GR45" i="1" s="1"/>
  <c r="GS33" i="1"/>
  <c r="GS45" i="1" s="1"/>
  <c r="GT33" i="1"/>
  <c r="GT45" i="1" s="1"/>
  <c r="GU33" i="1"/>
  <c r="GU45" i="1" s="1"/>
  <c r="GV33" i="1"/>
  <c r="GV45" i="1" s="1"/>
  <c r="GW33" i="1"/>
  <c r="GW45" i="1" s="1"/>
  <c r="GX33" i="1"/>
  <c r="GX45" i="1" s="1"/>
  <c r="GY33" i="1"/>
  <c r="GY45" i="1" s="1"/>
  <c r="GZ33" i="1"/>
  <c r="GZ45" i="1" s="1"/>
  <c r="HA33" i="1"/>
  <c r="HA45" i="1" s="1"/>
  <c r="HB33" i="1"/>
  <c r="HB45" i="1" s="1"/>
  <c r="HC33" i="1"/>
  <c r="HC45" i="1" s="1"/>
  <c r="HD33" i="1"/>
  <c r="HD45" i="1" s="1"/>
  <c r="HE33" i="1"/>
  <c r="HE45" i="1" s="1"/>
  <c r="HF33" i="1"/>
  <c r="HG33" i="1"/>
  <c r="HG45" i="1" s="1"/>
  <c r="HH33" i="1"/>
  <c r="HH45" i="1" s="1"/>
  <c r="HI33" i="1"/>
  <c r="HI45" i="1" s="1"/>
  <c r="FU27" i="1"/>
  <c r="FU46" i="1" s="1"/>
  <c r="FX27" i="1"/>
  <c r="FZ27" i="1"/>
  <c r="GA27" i="1"/>
  <c r="GA46" i="1" s="1"/>
  <c r="GB27" i="1"/>
  <c r="GB46" i="1" s="1"/>
  <c r="GC27" i="1"/>
  <c r="GC46" i="1" s="1"/>
  <c r="GJ27" i="1"/>
  <c r="GJ46" i="1" s="1"/>
  <c r="GM27" i="1"/>
  <c r="GM46" i="1" s="1"/>
  <c r="GS27" i="1"/>
  <c r="GS46" i="1" s="1"/>
  <c r="GV27" i="1"/>
  <c r="GV46" i="1" s="1"/>
  <c r="GW27" i="1"/>
  <c r="GW46" i="1" s="1"/>
  <c r="GY27" i="1"/>
  <c r="GY46" i="1" s="1"/>
  <c r="HE27" i="1"/>
  <c r="HE46" i="1" s="1"/>
  <c r="HH27" i="1"/>
  <c r="HH46" i="1" s="1"/>
  <c r="FP26" i="1"/>
  <c r="FP27" i="1" s="1"/>
  <c r="FP46" i="1" s="1"/>
  <c r="FQ26" i="1"/>
  <c r="FQ27" i="1" s="1"/>
  <c r="FQ46" i="1" s="1"/>
  <c r="FR26" i="1"/>
  <c r="FR27" i="1" s="1"/>
  <c r="FR46" i="1" s="1"/>
  <c r="FS26" i="1"/>
  <c r="FS27" i="1" s="1"/>
  <c r="FS46" i="1" s="1"/>
  <c r="FT26" i="1"/>
  <c r="FT27" i="1" s="1"/>
  <c r="FT46" i="1" s="1"/>
  <c r="FU26" i="1"/>
  <c r="FV26" i="1"/>
  <c r="FV27" i="1" s="1"/>
  <c r="FV46" i="1" s="1"/>
  <c r="FW26" i="1"/>
  <c r="FW27" i="1" s="1"/>
  <c r="FW46" i="1" s="1"/>
  <c r="FX26" i="1"/>
  <c r="FY26" i="1"/>
  <c r="FY27" i="1" s="1"/>
  <c r="FY46" i="1" s="1"/>
  <c r="FZ26" i="1"/>
  <c r="GA26" i="1"/>
  <c r="GB26" i="1"/>
  <c r="GC26" i="1"/>
  <c r="GD26" i="1"/>
  <c r="GD27" i="1" s="1"/>
  <c r="GD46" i="1" s="1"/>
  <c r="GE26" i="1"/>
  <c r="GE27" i="1" s="1"/>
  <c r="GE46" i="1" s="1"/>
  <c r="GF26" i="1"/>
  <c r="GF27" i="1" s="1"/>
  <c r="GF46" i="1" s="1"/>
  <c r="GG26" i="1"/>
  <c r="GG27" i="1" s="1"/>
  <c r="GG46" i="1" s="1"/>
  <c r="GH26" i="1"/>
  <c r="GH27" i="1" s="1"/>
  <c r="GH46" i="1" s="1"/>
  <c r="GI26" i="1"/>
  <c r="GI27" i="1" s="1"/>
  <c r="GI46" i="1" s="1"/>
  <c r="GJ26" i="1"/>
  <c r="GK26" i="1"/>
  <c r="GK27" i="1" s="1"/>
  <c r="GK46" i="1" s="1"/>
  <c r="GL26" i="1"/>
  <c r="GL27" i="1" s="1"/>
  <c r="GL46" i="1" s="1"/>
  <c r="GM26" i="1"/>
  <c r="GN26" i="1"/>
  <c r="GN27" i="1" s="1"/>
  <c r="GN46" i="1" s="1"/>
  <c r="GO26" i="1"/>
  <c r="GO27" i="1" s="1"/>
  <c r="GO46" i="1" s="1"/>
  <c r="GP26" i="1"/>
  <c r="GP27" i="1" s="1"/>
  <c r="GP46" i="1" s="1"/>
  <c r="GQ26" i="1"/>
  <c r="GQ27" i="1" s="1"/>
  <c r="GQ46" i="1" s="1"/>
  <c r="GR26" i="1"/>
  <c r="GR27" i="1" s="1"/>
  <c r="GR46" i="1" s="1"/>
  <c r="GS26" i="1"/>
  <c r="GT26" i="1"/>
  <c r="GT27" i="1" s="1"/>
  <c r="GT46" i="1" s="1"/>
  <c r="GU26" i="1"/>
  <c r="GU27" i="1" s="1"/>
  <c r="GU46" i="1" s="1"/>
  <c r="GV26" i="1"/>
  <c r="GW26" i="1"/>
  <c r="GX26" i="1"/>
  <c r="GX27" i="1" s="1"/>
  <c r="GX46" i="1" s="1"/>
  <c r="GY26" i="1"/>
  <c r="GZ26" i="1"/>
  <c r="GZ27" i="1" s="1"/>
  <c r="GZ46" i="1" s="1"/>
  <c r="HA26" i="1"/>
  <c r="HA27" i="1" s="1"/>
  <c r="HA46" i="1" s="1"/>
  <c r="HB26" i="1"/>
  <c r="HB27" i="1" s="1"/>
  <c r="HB46" i="1" s="1"/>
  <c r="HC26" i="1"/>
  <c r="HC27" i="1" s="1"/>
  <c r="HC46" i="1" s="1"/>
  <c r="HD26" i="1"/>
  <c r="HD27" i="1" s="1"/>
  <c r="HD46" i="1" s="1"/>
  <c r="HE26" i="1"/>
  <c r="HF26" i="1"/>
  <c r="HF27" i="1" s="1"/>
  <c r="HF46" i="1" s="1"/>
  <c r="HG26" i="1"/>
  <c r="HG27" i="1" s="1"/>
  <c r="HG46" i="1" s="1"/>
  <c r="HH26" i="1"/>
  <c r="HI26" i="1"/>
  <c r="HI27" i="1" s="1"/>
  <c r="HI46" i="1" s="1"/>
  <c r="FO33" i="1"/>
  <c r="FP16" i="1"/>
  <c r="FQ16" i="1"/>
  <c r="FR16" i="1"/>
  <c r="FR49" i="1" s="1"/>
  <c r="FS16" i="1"/>
  <c r="FS49" i="1" s="1"/>
  <c r="FT16" i="1"/>
  <c r="FT49" i="1" s="1"/>
  <c r="FU16" i="1"/>
  <c r="FU49" i="1" s="1"/>
  <c r="FV16" i="1"/>
  <c r="FV49" i="1" s="1"/>
  <c r="FW16" i="1"/>
  <c r="FW49" i="1" s="1"/>
  <c r="FX16" i="1"/>
  <c r="FX49" i="1" s="1"/>
  <c r="FY16" i="1"/>
  <c r="FY49" i="1" s="1"/>
  <c r="FZ16" i="1"/>
  <c r="FZ49" i="1" s="1"/>
  <c r="GA16" i="1"/>
  <c r="GA49" i="1" s="1"/>
  <c r="GB16" i="1"/>
  <c r="GB49" i="1" s="1"/>
  <c r="GC16" i="1"/>
  <c r="GC49" i="1" s="1"/>
  <c r="GD16" i="1"/>
  <c r="GD49" i="1" s="1"/>
  <c r="GE16" i="1"/>
  <c r="GE49" i="1" s="1"/>
  <c r="GF16" i="1"/>
  <c r="GF49" i="1" s="1"/>
  <c r="GG16" i="1"/>
  <c r="GG49" i="1" s="1"/>
  <c r="GH16" i="1"/>
  <c r="GH49" i="1" s="1"/>
  <c r="GI16" i="1"/>
  <c r="GI49" i="1" s="1"/>
  <c r="GJ16" i="1"/>
  <c r="GJ49" i="1" s="1"/>
  <c r="GK16" i="1"/>
  <c r="GK49" i="1" s="1"/>
  <c r="GL16" i="1"/>
  <c r="GL49" i="1" s="1"/>
  <c r="GM16" i="1"/>
  <c r="GM49" i="1" s="1"/>
  <c r="GN16" i="1"/>
  <c r="GO16" i="1"/>
  <c r="GO49" i="1" s="1"/>
  <c r="GP16" i="1"/>
  <c r="GP49" i="1" s="1"/>
  <c r="GQ16" i="1"/>
  <c r="GQ49" i="1" s="1"/>
  <c r="GR16" i="1"/>
  <c r="GR49" i="1" s="1"/>
  <c r="GS16" i="1"/>
  <c r="GS49" i="1" s="1"/>
  <c r="GT16" i="1"/>
  <c r="GT49" i="1" s="1"/>
  <c r="GU16" i="1"/>
  <c r="GU49" i="1" s="1"/>
  <c r="GV16" i="1"/>
  <c r="GV49" i="1" s="1"/>
  <c r="GW16" i="1"/>
  <c r="GW49" i="1" s="1"/>
  <c r="GX16" i="1"/>
  <c r="GX49" i="1" s="1"/>
  <c r="GY16" i="1"/>
  <c r="GZ16" i="1"/>
  <c r="HA16" i="1"/>
  <c r="HB16" i="1"/>
  <c r="HB49" i="1" s="1"/>
  <c r="HC16" i="1"/>
  <c r="HC49" i="1" s="1"/>
  <c r="HD16" i="1"/>
  <c r="HD49" i="1" s="1"/>
  <c r="HE16" i="1"/>
  <c r="HE49" i="1" s="1"/>
  <c r="HF16" i="1"/>
  <c r="HF49" i="1" s="1"/>
  <c r="HG16" i="1"/>
  <c r="HG49" i="1" s="1"/>
  <c r="HH16" i="1"/>
  <c r="HH49" i="1" s="1"/>
  <c r="FT12" i="1"/>
  <c r="FV12" i="1"/>
  <c r="FW12" i="1"/>
  <c r="FX12" i="1"/>
  <c r="GD12" i="1"/>
  <c r="GG12" i="1"/>
  <c r="GJ12" i="1"/>
  <c r="GR12" i="1"/>
  <c r="GS12" i="1"/>
  <c r="GT12" i="1"/>
  <c r="GU12" i="1"/>
  <c r="GV12" i="1"/>
  <c r="HG12" i="1"/>
  <c r="HH12" i="1"/>
  <c r="FP11" i="1"/>
  <c r="FP12" i="1" s="1"/>
  <c r="FQ11" i="1"/>
  <c r="FQ12" i="1" s="1"/>
  <c r="FR11" i="1"/>
  <c r="FR12" i="1" s="1"/>
  <c r="FS11" i="1"/>
  <c r="FS12" i="1" s="1"/>
  <c r="FT11" i="1"/>
  <c r="FU11" i="1"/>
  <c r="FU12" i="1" s="1"/>
  <c r="FV11" i="1"/>
  <c r="FW11" i="1"/>
  <c r="FX11" i="1"/>
  <c r="FY11" i="1"/>
  <c r="FY12" i="1" s="1"/>
  <c r="FZ11" i="1"/>
  <c r="FZ12" i="1" s="1"/>
  <c r="GA11" i="1"/>
  <c r="GA12" i="1" s="1"/>
  <c r="GB11" i="1"/>
  <c r="GB12" i="1" s="1"/>
  <c r="GC11" i="1"/>
  <c r="GC12" i="1" s="1"/>
  <c r="GD11" i="1"/>
  <c r="GE11" i="1"/>
  <c r="GE12" i="1" s="1"/>
  <c r="GF11" i="1"/>
  <c r="GF12" i="1" s="1"/>
  <c r="GG11" i="1"/>
  <c r="GH11" i="1"/>
  <c r="GH12" i="1" s="1"/>
  <c r="GI11" i="1"/>
  <c r="GI12" i="1" s="1"/>
  <c r="GJ11" i="1"/>
  <c r="GK11" i="1"/>
  <c r="GK12" i="1" s="1"/>
  <c r="GL11" i="1"/>
  <c r="GL12" i="1" s="1"/>
  <c r="GM11" i="1"/>
  <c r="GM12" i="1" s="1"/>
  <c r="GN11" i="1"/>
  <c r="GN12" i="1" s="1"/>
  <c r="GO11" i="1"/>
  <c r="GO12" i="1" s="1"/>
  <c r="GP11" i="1"/>
  <c r="GP12" i="1" s="1"/>
  <c r="GQ11" i="1"/>
  <c r="GQ12" i="1" s="1"/>
  <c r="GR11" i="1"/>
  <c r="GS11" i="1"/>
  <c r="GT11" i="1"/>
  <c r="GU11" i="1"/>
  <c r="GV11" i="1"/>
  <c r="GW11" i="1"/>
  <c r="GW12" i="1" s="1"/>
  <c r="GX11" i="1"/>
  <c r="GX12" i="1" s="1"/>
  <c r="GY11" i="1"/>
  <c r="GY12" i="1" s="1"/>
  <c r="GZ11" i="1"/>
  <c r="GZ12" i="1" s="1"/>
  <c r="HA11" i="1"/>
  <c r="HA12" i="1" s="1"/>
  <c r="HB11" i="1"/>
  <c r="HB12" i="1" s="1"/>
  <c r="HC11" i="1"/>
  <c r="HC12" i="1" s="1"/>
  <c r="HD11" i="1"/>
  <c r="HD12" i="1" s="1"/>
  <c r="HE11" i="1"/>
  <c r="HE12" i="1" s="1"/>
  <c r="HF11" i="1"/>
  <c r="HF12" i="1" s="1"/>
  <c r="HG11" i="1"/>
  <c r="HH11" i="1"/>
  <c r="FP8" i="1"/>
  <c r="FP42" i="1" s="1"/>
  <c r="FQ8" i="1"/>
  <c r="FQ42" i="1" s="1"/>
  <c r="FR8" i="1"/>
  <c r="FR42" i="1" s="1"/>
  <c r="FS8" i="1"/>
  <c r="FS42" i="1" s="1"/>
  <c r="FT8" i="1"/>
  <c r="FT42" i="1" s="1"/>
  <c r="FU8" i="1"/>
  <c r="FU42" i="1" s="1"/>
  <c r="FV8" i="1"/>
  <c r="FV42" i="1" s="1"/>
  <c r="FW8" i="1"/>
  <c r="FW42" i="1" s="1"/>
  <c r="FX8" i="1"/>
  <c r="FX42" i="1" s="1"/>
  <c r="FY8" i="1"/>
  <c r="FY42" i="1" s="1"/>
  <c r="FZ8" i="1"/>
  <c r="FZ42" i="1" s="1"/>
  <c r="GA8" i="1"/>
  <c r="GA42" i="1" s="1"/>
  <c r="GB8" i="1"/>
  <c r="GB42" i="1" s="1"/>
  <c r="GC8" i="1"/>
  <c r="GC42" i="1" s="1"/>
  <c r="GD8" i="1"/>
  <c r="GD42" i="1" s="1"/>
  <c r="GE8" i="1"/>
  <c r="GE42" i="1" s="1"/>
  <c r="GF8" i="1"/>
  <c r="GF42" i="1" s="1"/>
  <c r="GG8" i="1"/>
  <c r="GG42" i="1" s="1"/>
  <c r="GH8" i="1"/>
  <c r="GH42" i="1" s="1"/>
  <c r="GI8" i="1"/>
  <c r="GI42" i="1" s="1"/>
  <c r="GJ8" i="1"/>
  <c r="GJ42" i="1" s="1"/>
  <c r="GK8" i="1"/>
  <c r="GK42" i="1" s="1"/>
  <c r="GL8" i="1"/>
  <c r="GL42" i="1" s="1"/>
  <c r="GM8" i="1"/>
  <c r="GM42" i="1" s="1"/>
  <c r="GN8" i="1"/>
  <c r="GN42" i="1" s="1"/>
  <c r="GO8" i="1"/>
  <c r="GO42" i="1" s="1"/>
  <c r="GP8" i="1"/>
  <c r="GP42" i="1" s="1"/>
  <c r="GQ8" i="1"/>
  <c r="GQ42" i="1" s="1"/>
  <c r="GR8" i="1"/>
  <c r="GR42" i="1" s="1"/>
  <c r="GS8" i="1"/>
  <c r="GS42" i="1" s="1"/>
  <c r="GT8" i="1"/>
  <c r="GT42" i="1" s="1"/>
  <c r="GU8" i="1"/>
  <c r="GU42" i="1" s="1"/>
  <c r="GV8" i="1"/>
  <c r="GV42" i="1" s="1"/>
  <c r="GW8" i="1"/>
  <c r="GW42" i="1" s="1"/>
  <c r="GX8" i="1"/>
  <c r="GX42" i="1" s="1"/>
  <c r="GY8" i="1"/>
  <c r="GY42" i="1" s="1"/>
  <c r="GZ8" i="1"/>
  <c r="GZ42" i="1" s="1"/>
  <c r="HA8" i="1"/>
  <c r="HA42" i="1" s="1"/>
  <c r="HB8" i="1"/>
  <c r="HB42" i="1" s="1"/>
  <c r="HC8" i="1"/>
  <c r="HC42" i="1" s="1"/>
  <c r="HD8" i="1"/>
  <c r="HD42" i="1" s="1"/>
  <c r="HE8" i="1"/>
  <c r="HE42" i="1" s="1"/>
  <c r="HF8" i="1"/>
  <c r="HF42" i="1" s="1"/>
  <c r="HG8" i="1"/>
  <c r="HG42" i="1" s="1"/>
  <c r="HH8" i="1"/>
  <c r="HH42" i="1" s="1"/>
  <c r="HI8" i="1"/>
  <c r="HI42" i="1" s="1"/>
  <c r="C33" i="1"/>
  <c r="C8" i="1"/>
  <c r="B8" i="1"/>
  <c r="FB40" i="1" l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O40" i="1"/>
  <c r="FB41" i="1"/>
  <c r="FC41" i="1"/>
  <c r="FD41" i="1"/>
  <c r="FE41" i="1"/>
  <c r="FF41" i="1"/>
  <c r="FG41" i="1"/>
  <c r="FH41" i="1"/>
  <c r="FI41" i="1"/>
  <c r="FJ41" i="1"/>
  <c r="FK41" i="1"/>
  <c r="FL41" i="1"/>
  <c r="FM41" i="1"/>
  <c r="FN41" i="1"/>
  <c r="FO41" i="1"/>
  <c r="FB43" i="1"/>
  <c r="FC43" i="1"/>
  <c r="FD43" i="1"/>
  <c r="FE43" i="1"/>
  <c r="FF43" i="1"/>
  <c r="FG43" i="1"/>
  <c r="FH43" i="1"/>
  <c r="FI43" i="1"/>
  <c r="FJ43" i="1"/>
  <c r="FK43" i="1"/>
  <c r="FL43" i="1"/>
  <c r="FM43" i="1"/>
  <c r="FN43" i="1"/>
  <c r="FO43" i="1"/>
  <c r="FB44" i="1"/>
  <c r="FC44" i="1"/>
  <c r="FD44" i="1"/>
  <c r="FE44" i="1"/>
  <c r="FF44" i="1"/>
  <c r="FG44" i="1"/>
  <c r="FH44" i="1"/>
  <c r="FI44" i="1"/>
  <c r="FJ44" i="1"/>
  <c r="FK44" i="1"/>
  <c r="FL44" i="1"/>
  <c r="FM44" i="1"/>
  <c r="FN44" i="1"/>
  <c r="FO44" i="1"/>
  <c r="FB47" i="1"/>
  <c r="FC47" i="1"/>
  <c r="FD47" i="1"/>
  <c r="FE47" i="1"/>
  <c r="FF47" i="1"/>
  <c r="FG47" i="1"/>
  <c r="FH47" i="1"/>
  <c r="FI47" i="1"/>
  <c r="FJ47" i="1"/>
  <c r="FK47" i="1"/>
  <c r="FL47" i="1"/>
  <c r="FM47" i="1"/>
  <c r="FN47" i="1"/>
  <c r="FO47" i="1"/>
  <c r="FB48" i="1"/>
  <c r="FC48" i="1"/>
  <c r="FD48" i="1"/>
  <c r="FE48" i="1"/>
  <c r="FF48" i="1"/>
  <c r="FG48" i="1"/>
  <c r="FH48" i="1"/>
  <c r="FI48" i="1"/>
  <c r="FJ48" i="1"/>
  <c r="FK48" i="1"/>
  <c r="FL48" i="1"/>
  <c r="FM48" i="1"/>
  <c r="FN48" i="1"/>
  <c r="FO48" i="1"/>
  <c r="FB50" i="1"/>
  <c r="FC50" i="1"/>
  <c r="FD50" i="1"/>
  <c r="FE50" i="1"/>
  <c r="FF50" i="1"/>
  <c r="FG50" i="1"/>
  <c r="FH50" i="1"/>
  <c r="FI50" i="1"/>
  <c r="FJ50" i="1"/>
  <c r="FK50" i="1"/>
  <c r="FL50" i="1"/>
  <c r="FM50" i="1"/>
  <c r="FN50" i="1"/>
  <c r="FO50" i="1"/>
  <c r="FB51" i="1"/>
  <c r="FC51" i="1"/>
  <c r="FD51" i="1"/>
  <c r="FE51" i="1"/>
  <c r="FF51" i="1"/>
  <c r="FG51" i="1"/>
  <c r="FH51" i="1"/>
  <c r="FI51" i="1"/>
  <c r="FJ51" i="1"/>
  <c r="FK51" i="1"/>
  <c r="FL51" i="1"/>
  <c r="FM51" i="1"/>
  <c r="FN51" i="1"/>
  <c r="FO51" i="1"/>
  <c r="FB33" i="1"/>
  <c r="FB45" i="1" s="1"/>
  <c r="FC33" i="1"/>
  <c r="FC45" i="1" s="1"/>
  <c r="FD33" i="1"/>
  <c r="FD45" i="1" s="1"/>
  <c r="FE33" i="1"/>
  <c r="FE45" i="1" s="1"/>
  <c r="FF33" i="1"/>
  <c r="FF45" i="1" s="1"/>
  <c r="FG33" i="1"/>
  <c r="FG45" i="1" s="1"/>
  <c r="FH33" i="1"/>
  <c r="FH45" i="1" s="1"/>
  <c r="FI33" i="1"/>
  <c r="FI45" i="1" s="1"/>
  <c r="FJ33" i="1"/>
  <c r="FJ45" i="1" s="1"/>
  <c r="FK33" i="1"/>
  <c r="FK45" i="1" s="1"/>
  <c r="FL33" i="1"/>
  <c r="FL45" i="1" s="1"/>
  <c r="FM33" i="1"/>
  <c r="FM45" i="1" s="1"/>
  <c r="FN33" i="1"/>
  <c r="FN45" i="1" s="1"/>
  <c r="FO45" i="1"/>
  <c r="EZ33" i="1"/>
  <c r="EZ45" i="1" s="1"/>
  <c r="FB26" i="1"/>
  <c r="FB27" i="1" s="1"/>
  <c r="FB46" i="1" s="1"/>
  <c r="FC26" i="1"/>
  <c r="FC27" i="1" s="1"/>
  <c r="FC46" i="1" s="1"/>
  <c r="FD26" i="1"/>
  <c r="FD27" i="1" s="1"/>
  <c r="FD46" i="1" s="1"/>
  <c r="FE26" i="1"/>
  <c r="FE27" i="1" s="1"/>
  <c r="FE46" i="1" s="1"/>
  <c r="FF26" i="1"/>
  <c r="FF27" i="1" s="1"/>
  <c r="FF46" i="1" s="1"/>
  <c r="FG26" i="1"/>
  <c r="FG27" i="1" s="1"/>
  <c r="FG46" i="1" s="1"/>
  <c r="FH26" i="1"/>
  <c r="FH27" i="1" s="1"/>
  <c r="FH46" i="1" s="1"/>
  <c r="FI26" i="1"/>
  <c r="FI27" i="1" s="1"/>
  <c r="FI46" i="1" s="1"/>
  <c r="FJ26" i="1"/>
  <c r="FJ27" i="1" s="1"/>
  <c r="FJ46" i="1" s="1"/>
  <c r="FK26" i="1"/>
  <c r="FK27" i="1" s="1"/>
  <c r="FK46" i="1" s="1"/>
  <c r="FL26" i="1"/>
  <c r="FL27" i="1" s="1"/>
  <c r="FL46" i="1" s="1"/>
  <c r="FM26" i="1"/>
  <c r="FM27" i="1" s="1"/>
  <c r="FM46" i="1" s="1"/>
  <c r="FN26" i="1"/>
  <c r="FN27" i="1" s="1"/>
  <c r="FN46" i="1" s="1"/>
  <c r="FO26" i="1"/>
  <c r="FB16" i="1"/>
  <c r="FB49" i="1" s="1"/>
  <c r="FC16" i="1"/>
  <c r="FC49" i="1" s="1"/>
  <c r="FD16" i="1"/>
  <c r="FD49" i="1" s="1"/>
  <c r="FE16" i="1"/>
  <c r="FE49" i="1" s="1"/>
  <c r="FF16" i="1"/>
  <c r="FF49" i="1" s="1"/>
  <c r="FG16" i="1"/>
  <c r="FG49" i="1" s="1"/>
  <c r="FH16" i="1"/>
  <c r="FH49" i="1" s="1"/>
  <c r="FI16" i="1"/>
  <c r="FI49" i="1" s="1"/>
  <c r="FJ16" i="1"/>
  <c r="FJ49" i="1" s="1"/>
  <c r="FK16" i="1"/>
  <c r="FK49" i="1" s="1"/>
  <c r="FL16" i="1"/>
  <c r="FL49" i="1" s="1"/>
  <c r="FM16" i="1"/>
  <c r="FM49" i="1" s="1"/>
  <c r="FN16" i="1"/>
  <c r="FN49" i="1" s="1"/>
  <c r="FO16" i="1"/>
  <c r="FO49" i="1" s="1"/>
  <c r="FB11" i="1"/>
  <c r="FB12" i="1" s="1"/>
  <c r="FC11" i="1"/>
  <c r="FC12" i="1" s="1"/>
  <c r="FD11" i="1"/>
  <c r="FD12" i="1" s="1"/>
  <c r="FE11" i="1"/>
  <c r="FE12" i="1" s="1"/>
  <c r="FF11" i="1"/>
  <c r="FF12" i="1" s="1"/>
  <c r="FG11" i="1"/>
  <c r="FG12" i="1" s="1"/>
  <c r="FH11" i="1"/>
  <c r="FH12" i="1" s="1"/>
  <c r="FI11" i="1"/>
  <c r="FI12" i="1" s="1"/>
  <c r="FJ11" i="1"/>
  <c r="FJ12" i="1" s="1"/>
  <c r="FK11" i="1"/>
  <c r="FK12" i="1" s="1"/>
  <c r="FL11" i="1"/>
  <c r="FL12" i="1" s="1"/>
  <c r="FM11" i="1"/>
  <c r="FM12" i="1" s="1"/>
  <c r="FN11" i="1"/>
  <c r="FN12" i="1" s="1"/>
  <c r="FO11" i="1"/>
  <c r="FO12" i="1" s="1"/>
  <c r="FB8" i="1"/>
  <c r="FB42" i="1" s="1"/>
  <c r="FC8" i="1"/>
  <c r="FC42" i="1" s="1"/>
  <c r="FD8" i="1"/>
  <c r="FD42" i="1" s="1"/>
  <c r="FE8" i="1"/>
  <c r="FE42" i="1" s="1"/>
  <c r="FF8" i="1"/>
  <c r="FF42" i="1" s="1"/>
  <c r="FG8" i="1"/>
  <c r="FG42" i="1" s="1"/>
  <c r="FH8" i="1"/>
  <c r="FH42" i="1" s="1"/>
  <c r="FI8" i="1"/>
  <c r="FI42" i="1" s="1"/>
  <c r="FJ8" i="1"/>
  <c r="FJ42" i="1" s="1"/>
  <c r="FK8" i="1"/>
  <c r="FK42" i="1" s="1"/>
  <c r="FL8" i="1"/>
  <c r="FL42" i="1" s="1"/>
  <c r="FM8" i="1"/>
  <c r="FM42" i="1" s="1"/>
  <c r="FN8" i="1"/>
  <c r="FN42" i="1" s="1"/>
  <c r="FO8" i="1"/>
  <c r="FO42" i="1" s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Z40" i="1"/>
  <c r="FA40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Z41" i="1"/>
  <c r="FA41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Z43" i="1"/>
  <c r="FA43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Z44" i="1"/>
  <c r="FA44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Z47" i="1"/>
  <c r="FA47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Z48" i="1"/>
  <c r="FA48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Z50" i="1"/>
  <c r="FA50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Z51" i="1"/>
  <c r="FA51" i="1"/>
  <c r="BK26" i="1"/>
  <c r="BK27" i="1" s="1"/>
  <c r="BK46" i="1" s="1"/>
  <c r="EF33" i="1"/>
  <c r="EF45" i="1" s="1"/>
  <c r="EG33" i="1"/>
  <c r="EG45" i="1" s="1"/>
  <c r="EH33" i="1"/>
  <c r="EH45" i="1" s="1"/>
  <c r="EI33" i="1"/>
  <c r="EI45" i="1" s="1"/>
  <c r="EJ33" i="1"/>
  <c r="EJ45" i="1" s="1"/>
  <c r="EK33" i="1"/>
  <c r="EK45" i="1" s="1"/>
  <c r="EL33" i="1"/>
  <c r="EL45" i="1" s="1"/>
  <c r="EM33" i="1"/>
  <c r="EM45" i="1" s="1"/>
  <c r="EN33" i="1"/>
  <c r="EN45" i="1" s="1"/>
  <c r="EO33" i="1"/>
  <c r="EO45" i="1" s="1"/>
  <c r="EP33" i="1"/>
  <c r="EQ33" i="1"/>
  <c r="ER33" i="1"/>
  <c r="ES33" i="1"/>
  <c r="ET33" i="1"/>
  <c r="EU33" i="1"/>
  <c r="EV33" i="1"/>
  <c r="EW33" i="1"/>
  <c r="EX33" i="1"/>
  <c r="EY33" i="1"/>
  <c r="FA33" i="1"/>
  <c r="FA45" i="1" s="1"/>
  <c r="EF26" i="1"/>
  <c r="EF27" i="1" s="1"/>
  <c r="EF46" i="1" s="1"/>
  <c r="EG26" i="1"/>
  <c r="EG27" i="1" s="1"/>
  <c r="EG46" i="1" s="1"/>
  <c r="EH26" i="1"/>
  <c r="EH27" i="1" s="1"/>
  <c r="EH46" i="1" s="1"/>
  <c r="EI26" i="1"/>
  <c r="EI27" i="1" s="1"/>
  <c r="EI46" i="1" s="1"/>
  <c r="EJ26" i="1"/>
  <c r="EJ27" i="1" s="1"/>
  <c r="EJ46" i="1" s="1"/>
  <c r="EK26" i="1"/>
  <c r="EK27" i="1" s="1"/>
  <c r="EK46" i="1" s="1"/>
  <c r="EL26" i="1"/>
  <c r="EL27" i="1" s="1"/>
  <c r="EL46" i="1" s="1"/>
  <c r="EM26" i="1"/>
  <c r="EM27" i="1" s="1"/>
  <c r="EM46" i="1" s="1"/>
  <c r="EN26" i="1"/>
  <c r="EN27" i="1" s="1"/>
  <c r="EN46" i="1" s="1"/>
  <c r="EO26" i="1"/>
  <c r="EO27" i="1" s="1"/>
  <c r="EO46" i="1" s="1"/>
  <c r="EP26" i="1"/>
  <c r="EP27" i="1" s="1"/>
  <c r="EQ26" i="1"/>
  <c r="EQ27" i="1" s="1"/>
  <c r="ER26" i="1"/>
  <c r="ER27" i="1" s="1"/>
  <c r="ES26" i="1"/>
  <c r="ES27" i="1" s="1"/>
  <c r="ET26" i="1"/>
  <c r="ET27" i="1" s="1"/>
  <c r="EU26" i="1"/>
  <c r="EU27" i="1" s="1"/>
  <c r="EV26" i="1"/>
  <c r="EV27" i="1" s="1"/>
  <c r="EW26" i="1"/>
  <c r="EW27" i="1" s="1"/>
  <c r="EX26" i="1"/>
  <c r="EX27" i="1" s="1"/>
  <c r="EY26" i="1"/>
  <c r="EY27" i="1" s="1"/>
  <c r="EZ26" i="1"/>
  <c r="EZ27" i="1" s="1"/>
  <c r="EZ46" i="1" s="1"/>
  <c r="FA26" i="1"/>
  <c r="FA27" i="1" s="1"/>
  <c r="FA46" i="1" s="1"/>
  <c r="EE16" i="1"/>
  <c r="EE49" i="1" s="1"/>
  <c r="EF16" i="1"/>
  <c r="EF49" i="1" s="1"/>
  <c r="EG16" i="1"/>
  <c r="EG49" i="1" s="1"/>
  <c r="EH16" i="1"/>
  <c r="EH49" i="1" s="1"/>
  <c r="EI16" i="1"/>
  <c r="EI49" i="1" s="1"/>
  <c r="EJ16" i="1"/>
  <c r="EJ49" i="1" s="1"/>
  <c r="EK16" i="1"/>
  <c r="EK49" i="1" s="1"/>
  <c r="EL16" i="1"/>
  <c r="EL49" i="1" s="1"/>
  <c r="EM16" i="1"/>
  <c r="EM49" i="1" s="1"/>
  <c r="EN16" i="1"/>
  <c r="EN49" i="1" s="1"/>
  <c r="EO16" i="1"/>
  <c r="EO49" i="1" s="1"/>
  <c r="EP16" i="1"/>
  <c r="EQ16" i="1"/>
  <c r="ER16" i="1"/>
  <c r="ES16" i="1"/>
  <c r="ET16" i="1"/>
  <c r="EU16" i="1"/>
  <c r="EV16" i="1"/>
  <c r="EW16" i="1"/>
  <c r="EX16" i="1"/>
  <c r="EY16" i="1"/>
  <c r="EZ16" i="1"/>
  <c r="EZ49" i="1" s="1"/>
  <c r="FA16" i="1"/>
  <c r="FA49" i="1" s="1"/>
  <c r="EE11" i="1"/>
  <c r="EE12" i="1" s="1"/>
  <c r="EF11" i="1"/>
  <c r="EF12" i="1" s="1"/>
  <c r="EG11" i="1"/>
  <c r="EG12" i="1" s="1"/>
  <c r="EH11" i="1"/>
  <c r="EH12" i="1" s="1"/>
  <c r="EI11" i="1"/>
  <c r="EI12" i="1" s="1"/>
  <c r="EJ11" i="1"/>
  <c r="EJ12" i="1" s="1"/>
  <c r="EK11" i="1"/>
  <c r="EK12" i="1" s="1"/>
  <c r="EL11" i="1"/>
  <c r="EL12" i="1" s="1"/>
  <c r="EM11" i="1"/>
  <c r="EM12" i="1" s="1"/>
  <c r="EN11" i="1"/>
  <c r="EN12" i="1" s="1"/>
  <c r="EO11" i="1"/>
  <c r="EO12" i="1" s="1"/>
  <c r="EP11" i="1"/>
  <c r="EP12" i="1" s="1"/>
  <c r="EQ11" i="1"/>
  <c r="EQ12" i="1" s="1"/>
  <c r="ER11" i="1"/>
  <c r="ER12" i="1" s="1"/>
  <c r="ES11" i="1"/>
  <c r="ES12" i="1" s="1"/>
  <c r="ET11" i="1"/>
  <c r="ET12" i="1" s="1"/>
  <c r="EU11" i="1"/>
  <c r="EU12" i="1" s="1"/>
  <c r="EV11" i="1"/>
  <c r="EV12" i="1" s="1"/>
  <c r="EW11" i="1"/>
  <c r="EW12" i="1" s="1"/>
  <c r="EX11" i="1"/>
  <c r="EX12" i="1" s="1"/>
  <c r="EY11" i="1"/>
  <c r="EY12" i="1" s="1"/>
  <c r="EZ11" i="1"/>
  <c r="EZ12" i="1" s="1"/>
  <c r="FA11" i="1"/>
  <c r="FA12" i="1" s="1"/>
  <c r="EE8" i="1"/>
  <c r="EE42" i="1" s="1"/>
  <c r="EF8" i="1"/>
  <c r="EF42" i="1" s="1"/>
  <c r="EG8" i="1"/>
  <c r="EG42" i="1" s="1"/>
  <c r="EH8" i="1"/>
  <c r="EH42" i="1" s="1"/>
  <c r="EI8" i="1"/>
  <c r="EI42" i="1" s="1"/>
  <c r="EJ8" i="1"/>
  <c r="EJ42" i="1" s="1"/>
  <c r="EK8" i="1"/>
  <c r="EK42" i="1" s="1"/>
  <c r="EL8" i="1"/>
  <c r="EL42" i="1" s="1"/>
  <c r="EM8" i="1"/>
  <c r="EM42" i="1" s="1"/>
  <c r="EN8" i="1"/>
  <c r="EN42" i="1" s="1"/>
  <c r="EO8" i="1"/>
  <c r="EO42" i="1" s="1"/>
  <c r="EP8" i="1"/>
  <c r="EQ8" i="1"/>
  <c r="ER8" i="1"/>
  <c r="ES8" i="1"/>
  <c r="ET8" i="1"/>
  <c r="EU8" i="1"/>
  <c r="EV8" i="1"/>
  <c r="EW8" i="1"/>
  <c r="EX8" i="1"/>
  <c r="EY8" i="1"/>
  <c r="EZ8" i="1"/>
  <c r="EZ42" i="1" s="1"/>
  <c r="FA8" i="1"/>
  <c r="FA42" i="1" s="1"/>
  <c r="DP26" i="1"/>
  <c r="DP27" i="1" s="1"/>
  <c r="DP46" i="1" s="1"/>
  <c r="BL33" i="1"/>
  <c r="BL45" i="1" s="1"/>
  <c r="BM33" i="1"/>
  <c r="BM45" i="1" s="1"/>
  <c r="BN33" i="1"/>
  <c r="BN45" i="1" s="1"/>
  <c r="BO33" i="1"/>
  <c r="BO45" i="1" s="1"/>
  <c r="BP33" i="1"/>
  <c r="BP45" i="1" s="1"/>
  <c r="BQ33" i="1"/>
  <c r="BQ45" i="1" s="1"/>
  <c r="BR33" i="1"/>
  <c r="BR45" i="1" s="1"/>
  <c r="BS33" i="1"/>
  <c r="BS45" i="1" s="1"/>
  <c r="BT33" i="1"/>
  <c r="BT45" i="1" s="1"/>
  <c r="BU33" i="1"/>
  <c r="BU45" i="1" s="1"/>
  <c r="BV33" i="1"/>
  <c r="BV45" i="1" s="1"/>
  <c r="BW33" i="1"/>
  <c r="BW45" i="1" s="1"/>
  <c r="BX33" i="1"/>
  <c r="BX45" i="1" s="1"/>
  <c r="BY33" i="1"/>
  <c r="BY45" i="1" s="1"/>
  <c r="BZ33" i="1"/>
  <c r="BZ45" i="1" s="1"/>
  <c r="CA33" i="1"/>
  <c r="CA45" i="1" s="1"/>
  <c r="CB33" i="1"/>
  <c r="CB45" i="1" s="1"/>
  <c r="CC33" i="1"/>
  <c r="CC45" i="1" s="1"/>
  <c r="CD33" i="1"/>
  <c r="CD45" i="1" s="1"/>
  <c r="CE33" i="1"/>
  <c r="CE45" i="1" s="1"/>
  <c r="CF33" i="1"/>
  <c r="CF45" i="1" s="1"/>
  <c r="CG33" i="1"/>
  <c r="CG45" i="1" s="1"/>
  <c r="CH33" i="1"/>
  <c r="CH45" i="1" s="1"/>
  <c r="CI33" i="1"/>
  <c r="CI45" i="1" s="1"/>
  <c r="CJ33" i="1"/>
  <c r="CJ45" i="1" s="1"/>
  <c r="CK33" i="1"/>
  <c r="CK45" i="1" s="1"/>
  <c r="CL33" i="1"/>
  <c r="CL45" i="1" s="1"/>
  <c r="CM33" i="1"/>
  <c r="CM45" i="1" s="1"/>
  <c r="CN33" i="1"/>
  <c r="CN45" i="1" s="1"/>
  <c r="CO33" i="1"/>
  <c r="CO45" i="1" s="1"/>
  <c r="CP33" i="1"/>
  <c r="CP45" i="1" s="1"/>
  <c r="CQ33" i="1"/>
  <c r="CQ45" i="1" s="1"/>
  <c r="CR33" i="1"/>
  <c r="CR45" i="1" s="1"/>
  <c r="CS33" i="1"/>
  <c r="CS45" i="1" s="1"/>
  <c r="CT33" i="1"/>
  <c r="CT45" i="1" s="1"/>
  <c r="CU33" i="1"/>
  <c r="CU45" i="1" s="1"/>
  <c r="CV33" i="1"/>
  <c r="CV45" i="1" s="1"/>
  <c r="CW33" i="1"/>
  <c r="CW45" i="1" s="1"/>
  <c r="CX33" i="1"/>
  <c r="CX45" i="1" s="1"/>
  <c r="CY33" i="1"/>
  <c r="CY45" i="1" s="1"/>
  <c r="CZ33" i="1"/>
  <c r="CZ45" i="1" s="1"/>
  <c r="DA33" i="1"/>
  <c r="DA45" i="1" s="1"/>
  <c r="DB33" i="1"/>
  <c r="DB45" i="1" s="1"/>
  <c r="DC33" i="1"/>
  <c r="DC45" i="1" s="1"/>
  <c r="DD33" i="1"/>
  <c r="DD45" i="1" s="1"/>
  <c r="DE33" i="1"/>
  <c r="DE45" i="1" s="1"/>
  <c r="DF33" i="1"/>
  <c r="DF45" i="1" s="1"/>
  <c r="DG33" i="1"/>
  <c r="DG45" i="1" s="1"/>
  <c r="DH33" i="1"/>
  <c r="DH45" i="1" s="1"/>
  <c r="DI33" i="1"/>
  <c r="DI45" i="1" s="1"/>
  <c r="DJ33" i="1"/>
  <c r="DJ45" i="1" s="1"/>
  <c r="DK33" i="1"/>
  <c r="DK45" i="1" s="1"/>
  <c r="DL33" i="1"/>
  <c r="DL45" i="1" s="1"/>
  <c r="DM33" i="1"/>
  <c r="DM45" i="1" s="1"/>
  <c r="DN33" i="1"/>
  <c r="DN45" i="1" s="1"/>
  <c r="DO33" i="1"/>
  <c r="DO45" i="1" s="1"/>
  <c r="DP33" i="1"/>
  <c r="DP45" i="1" s="1"/>
  <c r="DQ33" i="1"/>
  <c r="DQ45" i="1" s="1"/>
  <c r="DR33" i="1"/>
  <c r="DR45" i="1" s="1"/>
  <c r="DS33" i="1"/>
  <c r="DS45" i="1" s="1"/>
  <c r="DT33" i="1"/>
  <c r="DT45" i="1" s="1"/>
  <c r="DU33" i="1"/>
  <c r="DU45" i="1" s="1"/>
  <c r="DV33" i="1"/>
  <c r="DV45" i="1" s="1"/>
  <c r="DW33" i="1"/>
  <c r="DW45" i="1" s="1"/>
  <c r="DX33" i="1"/>
  <c r="DX45" i="1" s="1"/>
  <c r="DY33" i="1"/>
  <c r="DY45" i="1" s="1"/>
  <c r="DZ33" i="1"/>
  <c r="DZ45" i="1" s="1"/>
  <c r="EA33" i="1"/>
  <c r="EA45" i="1" s="1"/>
  <c r="EB33" i="1"/>
  <c r="EB45" i="1" s="1"/>
  <c r="EC33" i="1"/>
  <c r="EC45" i="1" s="1"/>
  <c r="ED33" i="1"/>
  <c r="ED45" i="1" s="1"/>
  <c r="EE33" i="1"/>
  <c r="EE45" i="1" s="1"/>
  <c r="BL26" i="1"/>
  <c r="BL27" i="1" s="1"/>
  <c r="BL46" i="1" s="1"/>
  <c r="BM26" i="1"/>
  <c r="BM27" i="1" s="1"/>
  <c r="BM46" i="1" s="1"/>
  <c r="BN26" i="1"/>
  <c r="BN27" i="1" s="1"/>
  <c r="BN46" i="1" s="1"/>
  <c r="BO26" i="1"/>
  <c r="BO27" i="1" s="1"/>
  <c r="BO46" i="1" s="1"/>
  <c r="BP26" i="1"/>
  <c r="BP27" i="1" s="1"/>
  <c r="BP46" i="1" s="1"/>
  <c r="BQ26" i="1"/>
  <c r="BQ27" i="1" s="1"/>
  <c r="BQ46" i="1" s="1"/>
  <c r="BR26" i="1"/>
  <c r="BR27" i="1" s="1"/>
  <c r="BR46" i="1" s="1"/>
  <c r="BS26" i="1"/>
  <c r="BS27" i="1" s="1"/>
  <c r="BS46" i="1" s="1"/>
  <c r="BT26" i="1"/>
  <c r="BT27" i="1" s="1"/>
  <c r="BT46" i="1" s="1"/>
  <c r="BU26" i="1"/>
  <c r="BU27" i="1" s="1"/>
  <c r="BU46" i="1" s="1"/>
  <c r="BV26" i="1"/>
  <c r="BV27" i="1" s="1"/>
  <c r="BV46" i="1" s="1"/>
  <c r="BW26" i="1"/>
  <c r="BW27" i="1" s="1"/>
  <c r="BW46" i="1" s="1"/>
  <c r="BX26" i="1"/>
  <c r="BX27" i="1" s="1"/>
  <c r="BX46" i="1" s="1"/>
  <c r="BY26" i="1"/>
  <c r="BY27" i="1" s="1"/>
  <c r="BY46" i="1" s="1"/>
  <c r="BZ26" i="1"/>
  <c r="BZ27" i="1" s="1"/>
  <c r="BZ46" i="1" s="1"/>
  <c r="CA26" i="1"/>
  <c r="CA27" i="1" s="1"/>
  <c r="CA46" i="1" s="1"/>
  <c r="CB26" i="1"/>
  <c r="CB27" i="1" s="1"/>
  <c r="CB46" i="1" s="1"/>
  <c r="CC26" i="1"/>
  <c r="CC27" i="1" s="1"/>
  <c r="CC46" i="1" s="1"/>
  <c r="CD26" i="1"/>
  <c r="CD27" i="1" s="1"/>
  <c r="CD46" i="1" s="1"/>
  <c r="CE26" i="1"/>
  <c r="CE27" i="1" s="1"/>
  <c r="CE46" i="1" s="1"/>
  <c r="CF26" i="1"/>
  <c r="CF27" i="1" s="1"/>
  <c r="CF46" i="1" s="1"/>
  <c r="CG26" i="1"/>
  <c r="CG27" i="1" s="1"/>
  <c r="CG46" i="1" s="1"/>
  <c r="CH26" i="1"/>
  <c r="CH27" i="1" s="1"/>
  <c r="CH46" i="1" s="1"/>
  <c r="CI26" i="1"/>
  <c r="CI27" i="1" s="1"/>
  <c r="CI46" i="1" s="1"/>
  <c r="CJ26" i="1"/>
  <c r="CJ27" i="1" s="1"/>
  <c r="CJ46" i="1" s="1"/>
  <c r="CK26" i="1"/>
  <c r="CK27" i="1" s="1"/>
  <c r="CK46" i="1" s="1"/>
  <c r="CL26" i="1"/>
  <c r="CL27" i="1" s="1"/>
  <c r="CL46" i="1" s="1"/>
  <c r="CM26" i="1"/>
  <c r="CM27" i="1" s="1"/>
  <c r="CM46" i="1" s="1"/>
  <c r="CN26" i="1"/>
  <c r="CN27" i="1" s="1"/>
  <c r="CN46" i="1" s="1"/>
  <c r="CO26" i="1"/>
  <c r="CO27" i="1" s="1"/>
  <c r="CO46" i="1" s="1"/>
  <c r="CP26" i="1"/>
  <c r="CP27" i="1" s="1"/>
  <c r="CP46" i="1" s="1"/>
  <c r="CQ26" i="1"/>
  <c r="CQ27" i="1" s="1"/>
  <c r="CQ46" i="1" s="1"/>
  <c r="CR26" i="1"/>
  <c r="CR27" i="1" s="1"/>
  <c r="CR46" i="1" s="1"/>
  <c r="CS26" i="1"/>
  <c r="CS27" i="1" s="1"/>
  <c r="CS46" i="1" s="1"/>
  <c r="CT26" i="1"/>
  <c r="CT27" i="1" s="1"/>
  <c r="CT46" i="1" s="1"/>
  <c r="CU26" i="1"/>
  <c r="CU27" i="1" s="1"/>
  <c r="CU46" i="1" s="1"/>
  <c r="CV26" i="1"/>
  <c r="CV27" i="1" s="1"/>
  <c r="CV46" i="1" s="1"/>
  <c r="CW26" i="1"/>
  <c r="CW27" i="1" s="1"/>
  <c r="CW46" i="1" s="1"/>
  <c r="CX26" i="1"/>
  <c r="CX27" i="1" s="1"/>
  <c r="CX46" i="1" s="1"/>
  <c r="CY26" i="1"/>
  <c r="CY27" i="1" s="1"/>
  <c r="CY46" i="1" s="1"/>
  <c r="CZ26" i="1"/>
  <c r="CZ27" i="1" s="1"/>
  <c r="CZ46" i="1" s="1"/>
  <c r="DA26" i="1"/>
  <c r="DA27" i="1" s="1"/>
  <c r="DA46" i="1" s="1"/>
  <c r="DB26" i="1"/>
  <c r="DB27" i="1" s="1"/>
  <c r="DB46" i="1" s="1"/>
  <c r="DC26" i="1"/>
  <c r="DC27" i="1" s="1"/>
  <c r="DC46" i="1" s="1"/>
  <c r="DD26" i="1"/>
  <c r="DD27" i="1" s="1"/>
  <c r="DD46" i="1" s="1"/>
  <c r="DE26" i="1"/>
  <c r="DE27" i="1" s="1"/>
  <c r="DE46" i="1" s="1"/>
  <c r="DF26" i="1"/>
  <c r="DF27" i="1" s="1"/>
  <c r="DF46" i="1" s="1"/>
  <c r="DG26" i="1"/>
  <c r="DG27" i="1" s="1"/>
  <c r="DG46" i="1" s="1"/>
  <c r="DH26" i="1"/>
  <c r="DH27" i="1" s="1"/>
  <c r="DH46" i="1" s="1"/>
  <c r="DI26" i="1"/>
  <c r="DI27" i="1" s="1"/>
  <c r="DI46" i="1" s="1"/>
  <c r="DJ26" i="1"/>
  <c r="DJ27" i="1" s="1"/>
  <c r="DJ46" i="1" s="1"/>
  <c r="DK26" i="1"/>
  <c r="DK27" i="1" s="1"/>
  <c r="DK46" i="1" s="1"/>
  <c r="DL26" i="1"/>
  <c r="DL27" i="1" s="1"/>
  <c r="DL46" i="1" s="1"/>
  <c r="DM26" i="1"/>
  <c r="DM27" i="1" s="1"/>
  <c r="DM46" i="1" s="1"/>
  <c r="DN26" i="1"/>
  <c r="DN27" i="1" s="1"/>
  <c r="DN46" i="1" s="1"/>
  <c r="DO26" i="1"/>
  <c r="DO27" i="1" s="1"/>
  <c r="DO46" i="1" s="1"/>
  <c r="DQ26" i="1"/>
  <c r="DQ27" i="1" s="1"/>
  <c r="DQ46" i="1" s="1"/>
  <c r="DR26" i="1"/>
  <c r="DR27" i="1" s="1"/>
  <c r="DR46" i="1" s="1"/>
  <c r="DS26" i="1"/>
  <c r="DS27" i="1" s="1"/>
  <c r="DS46" i="1" s="1"/>
  <c r="DT26" i="1"/>
  <c r="DT27" i="1" s="1"/>
  <c r="DT46" i="1" s="1"/>
  <c r="DU26" i="1"/>
  <c r="DU27" i="1" s="1"/>
  <c r="DU46" i="1" s="1"/>
  <c r="DV26" i="1"/>
  <c r="DV27" i="1" s="1"/>
  <c r="DV46" i="1" s="1"/>
  <c r="DW26" i="1"/>
  <c r="DW27" i="1" s="1"/>
  <c r="DW46" i="1" s="1"/>
  <c r="DX26" i="1"/>
  <c r="DX27" i="1" s="1"/>
  <c r="DX46" i="1" s="1"/>
  <c r="DY26" i="1"/>
  <c r="DY27" i="1" s="1"/>
  <c r="DY46" i="1" s="1"/>
  <c r="DZ26" i="1"/>
  <c r="DZ27" i="1" s="1"/>
  <c r="DZ46" i="1" s="1"/>
  <c r="EA26" i="1"/>
  <c r="EA27" i="1" s="1"/>
  <c r="EA46" i="1" s="1"/>
  <c r="EB26" i="1"/>
  <c r="EB27" i="1" s="1"/>
  <c r="EB46" i="1" s="1"/>
  <c r="EC26" i="1"/>
  <c r="EC27" i="1" s="1"/>
  <c r="EC46" i="1" s="1"/>
  <c r="ED26" i="1"/>
  <c r="ED27" i="1" s="1"/>
  <c r="ED46" i="1" s="1"/>
  <c r="EE26" i="1"/>
  <c r="EE27" i="1" s="1"/>
  <c r="EE46" i="1" s="1"/>
  <c r="BL16" i="1"/>
  <c r="BL49" i="1" s="1"/>
  <c r="BM16" i="1"/>
  <c r="BM49" i="1" s="1"/>
  <c r="BN16" i="1"/>
  <c r="BN49" i="1" s="1"/>
  <c r="BO16" i="1"/>
  <c r="BO49" i="1" s="1"/>
  <c r="BP16" i="1"/>
  <c r="BP49" i="1" s="1"/>
  <c r="BQ16" i="1"/>
  <c r="BQ49" i="1" s="1"/>
  <c r="BR16" i="1"/>
  <c r="BR49" i="1" s="1"/>
  <c r="BS16" i="1"/>
  <c r="BS49" i="1" s="1"/>
  <c r="BT16" i="1"/>
  <c r="BT49" i="1" s="1"/>
  <c r="BU16" i="1"/>
  <c r="BU49" i="1" s="1"/>
  <c r="BV16" i="1"/>
  <c r="BV49" i="1" s="1"/>
  <c r="BW16" i="1"/>
  <c r="BW49" i="1" s="1"/>
  <c r="BX16" i="1"/>
  <c r="BX49" i="1" s="1"/>
  <c r="BY16" i="1"/>
  <c r="BY49" i="1" s="1"/>
  <c r="BZ16" i="1"/>
  <c r="BZ49" i="1" s="1"/>
  <c r="CA16" i="1"/>
  <c r="CA49" i="1" s="1"/>
  <c r="CB16" i="1"/>
  <c r="CB49" i="1" s="1"/>
  <c r="CC16" i="1"/>
  <c r="CC49" i="1" s="1"/>
  <c r="CD16" i="1"/>
  <c r="CD49" i="1" s="1"/>
  <c r="CE16" i="1"/>
  <c r="CE49" i="1" s="1"/>
  <c r="CF16" i="1"/>
  <c r="CF49" i="1" s="1"/>
  <c r="CG16" i="1"/>
  <c r="CG49" i="1" s="1"/>
  <c r="CH16" i="1"/>
  <c r="CH49" i="1" s="1"/>
  <c r="CI16" i="1"/>
  <c r="CI49" i="1" s="1"/>
  <c r="CJ16" i="1"/>
  <c r="CJ49" i="1" s="1"/>
  <c r="CK16" i="1"/>
  <c r="CK49" i="1" s="1"/>
  <c r="CL16" i="1"/>
  <c r="CL49" i="1" s="1"/>
  <c r="CM16" i="1"/>
  <c r="CM49" i="1" s="1"/>
  <c r="CN16" i="1"/>
  <c r="CN49" i="1" s="1"/>
  <c r="CO16" i="1"/>
  <c r="CO49" i="1" s="1"/>
  <c r="CP16" i="1"/>
  <c r="CP49" i="1" s="1"/>
  <c r="CQ16" i="1"/>
  <c r="CQ49" i="1" s="1"/>
  <c r="CR16" i="1"/>
  <c r="CR49" i="1" s="1"/>
  <c r="CS16" i="1"/>
  <c r="CS49" i="1" s="1"/>
  <c r="CT16" i="1"/>
  <c r="CT49" i="1" s="1"/>
  <c r="CU16" i="1"/>
  <c r="CU49" i="1" s="1"/>
  <c r="CV16" i="1"/>
  <c r="CV49" i="1" s="1"/>
  <c r="CW16" i="1"/>
  <c r="CW49" i="1" s="1"/>
  <c r="CX16" i="1"/>
  <c r="CX49" i="1" s="1"/>
  <c r="CY16" i="1"/>
  <c r="CY49" i="1" s="1"/>
  <c r="CZ16" i="1"/>
  <c r="CZ49" i="1" s="1"/>
  <c r="DA16" i="1"/>
  <c r="DA49" i="1" s="1"/>
  <c r="DB16" i="1"/>
  <c r="DB49" i="1" s="1"/>
  <c r="DC16" i="1"/>
  <c r="DC49" i="1" s="1"/>
  <c r="DD16" i="1"/>
  <c r="DD49" i="1" s="1"/>
  <c r="DE16" i="1"/>
  <c r="DE49" i="1" s="1"/>
  <c r="DF16" i="1"/>
  <c r="DF49" i="1" s="1"/>
  <c r="DG16" i="1"/>
  <c r="DG49" i="1" s="1"/>
  <c r="DH16" i="1"/>
  <c r="DH49" i="1" s="1"/>
  <c r="DI16" i="1"/>
  <c r="DI49" i="1" s="1"/>
  <c r="DJ16" i="1"/>
  <c r="DJ49" i="1" s="1"/>
  <c r="DK16" i="1"/>
  <c r="DK49" i="1" s="1"/>
  <c r="DL16" i="1"/>
  <c r="DL49" i="1" s="1"/>
  <c r="DM16" i="1"/>
  <c r="DM49" i="1" s="1"/>
  <c r="DN16" i="1"/>
  <c r="DN49" i="1" s="1"/>
  <c r="DO16" i="1"/>
  <c r="DO49" i="1" s="1"/>
  <c r="DP16" i="1"/>
  <c r="DP49" i="1" s="1"/>
  <c r="DQ16" i="1"/>
  <c r="DQ49" i="1" s="1"/>
  <c r="DR16" i="1"/>
  <c r="DR49" i="1" s="1"/>
  <c r="DS16" i="1"/>
  <c r="DS49" i="1" s="1"/>
  <c r="DT16" i="1"/>
  <c r="DT49" i="1" s="1"/>
  <c r="DU16" i="1"/>
  <c r="DU49" i="1" s="1"/>
  <c r="DV16" i="1"/>
  <c r="DV49" i="1" s="1"/>
  <c r="DW16" i="1"/>
  <c r="DW49" i="1" s="1"/>
  <c r="DX16" i="1"/>
  <c r="DX49" i="1" s="1"/>
  <c r="DY16" i="1"/>
  <c r="DY49" i="1" s="1"/>
  <c r="DZ16" i="1"/>
  <c r="DZ49" i="1" s="1"/>
  <c r="EA16" i="1"/>
  <c r="EA49" i="1" s="1"/>
  <c r="EB16" i="1"/>
  <c r="EB49" i="1" s="1"/>
  <c r="EC16" i="1"/>
  <c r="EC49" i="1" s="1"/>
  <c r="ED16" i="1"/>
  <c r="ED49" i="1" s="1"/>
  <c r="BL11" i="1"/>
  <c r="BL12" i="1" s="1"/>
  <c r="BM11" i="1"/>
  <c r="BM12" i="1" s="1"/>
  <c r="BN11" i="1"/>
  <c r="BN12" i="1" s="1"/>
  <c r="BO11" i="1"/>
  <c r="BO12" i="1" s="1"/>
  <c r="BP11" i="1"/>
  <c r="BP12" i="1" s="1"/>
  <c r="BQ11" i="1"/>
  <c r="BQ12" i="1" s="1"/>
  <c r="BR11" i="1"/>
  <c r="BR12" i="1" s="1"/>
  <c r="BS11" i="1"/>
  <c r="BS12" i="1" s="1"/>
  <c r="BT11" i="1"/>
  <c r="BT12" i="1" s="1"/>
  <c r="BU11" i="1"/>
  <c r="BU12" i="1" s="1"/>
  <c r="BV11" i="1"/>
  <c r="BV12" i="1" s="1"/>
  <c r="BW11" i="1"/>
  <c r="BW12" i="1" s="1"/>
  <c r="BX11" i="1"/>
  <c r="BX12" i="1" s="1"/>
  <c r="BY11" i="1"/>
  <c r="BY12" i="1" s="1"/>
  <c r="BZ11" i="1"/>
  <c r="BZ12" i="1" s="1"/>
  <c r="CA11" i="1"/>
  <c r="CA12" i="1" s="1"/>
  <c r="CB11" i="1"/>
  <c r="CB12" i="1" s="1"/>
  <c r="CC11" i="1"/>
  <c r="CC12" i="1" s="1"/>
  <c r="CD11" i="1"/>
  <c r="CD12" i="1" s="1"/>
  <c r="CE11" i="1"/>
  <c r="CE12" i="1" s="1"/>
  <c r="CF11" i="1"/>
  <c r="CF12" i="1" s="1"/>
  <c r="CG11" i="1"/>
  <c r="CG12" i="1" s="1"/>
  <c r="CH11" i="1"/>
  <c r="CH12" i="1" s="1"/>
  <c r="CI11" i="1"/>
  <c r="CI12" i="1" s="1"/>
  <c r="CJ11" i="1"/>
  <c r="CJ12" i="1" s="1"/>
  <c r="CK11" i="1"/>
  <c r="CK12" i="1" s="1"/>
  <c r="CL11" i="1"/>
  <c r="CL12" i="1" s="1"/>
  <c r="CM11" i="1"/>
  <c r="CM12" i="1" s="1"/>
  <c r="CN11" i="1"/>
  <c r="CN12" i="1" s="1"/>
  <c r="CO11" i="1"/>
  <c r="CO12" i="1" s="1"/>
  <c r="CP11" i="1"/>
  <c r="CP12" i="1" s="1"/>
  <c r="CQ11" i="1"/>
  <c r="CQ12" i="1" s="1"/>
  <c r="CR11" i="1"/>
  <c r="CR12" i="1" s="1"/>
  <c r="CS11" i="1"/>
  <c r="CS12" i="1" s="1"/>
  <c r="CT11" i="1"/>
  <c r="CT12" i="1" s="1"/>
  <c r="CU11" i="1"/>
  <c r="CU12" i="1" s="1"/>
  <c r="CV11" i="1"/>
  <c r="CV12" i="1" s="1"/>
  <c r="CW11" i="1"/>
  <c r="CW12" i="1" s="1"/>
  <c r="CX11" i="1"/>
  <c r="CX12" i="1" s="1"/>
  <c r="CY11" i="1"/>
  <c r="CY12" i="1" s="1"/>
  <c r="CZ11" i="1"/>
  <c r="CZ12" i="1" s="1"/>
  <c r="DA11" i="1"/>
  <c r="DA12" i="1" s="1"/>
  <c r="DB11" i="1"/>
  <c r="DB12" i="1" s="1"/>
  <c r="DC11" i="1"/>
  <c r="DC12" i="1" s="1"/>
  <c r="DD11" i="1"/>
  <c r="DD12" i="1" s="1"/>
  <c r="DE11" i="1"/>
  <c r="DE12" i="1" s="1"/>
  <c r="DF11" i="1"/>
  <c r="DF12" i="1" s="1"/>
  <c r="DG11" i="1"/>
  <c r="DG12" i="1" s="1"/>
  <c r="DH11" i="1"/>
  <c r="DH12" i="1" s="1"/>
  <c r="DI11" i="1"/>
  <c r="DI12" i="1" s="1"/>
  <c r="DJ11" i="1"/>
  <c r="DJ12" i="1" s="1"/>
  <c r="DK11" i="1"/>
  <c r="DK12" i="1" s="1"/>
  <c r="DL11" i="1"/>
  <c r="DL12" i="1" s="1"/>
  <c r="DM11" i="1"/>
  <c r="DM12" i="1" s="1"/>
  <c r="DN11" i="1"/>
  <c r="DN12" i="1" s="1"/>
  <c r="DO11" i="1"/>
  <c r="DO12" i="1" s="1"/>
  <c r="DP11" i="1"/>
  <c r="DP12" i="1" s="1"/>
  <c r="DQ11" i="1"/>
  <c r="DQ12" i="1" s="1"/>
  <c r="DR11" i="1"/>
  <c r="DR12" i="1" s="1"/>
  <c r="DS11" i="1"/>
  <c r="DS12" i="1" s="1"/>
  <c r="DT11" i="1"/>
  <c r="DT12" i="1" s="1"/>
  <c r="DU11" i="1"/>
  <c r="DU12" i="1" s="1"/>
  <c r="DV11" i="1"/>
  <c r="DV12" i="1" s="1"/>
  <c r="DW11" i="1"/>
  <c r="DW12" i="1" s="1"/>
  <c r="DX11" i="1"/>
  <c r="DX12" i="1" s="1"/>
  <c r="DY11" i="1"/>
  <c r="DY12" i="1" s="1"/>
  <c r="DZ11" i="1"/>
  <c r="DZ12" i="1" s="1"/>
  <c r="EA11" i="1"/>
  <c r="EA12" i="1" s="1"/>
  <c r="EB11" i="1"/>
  <c r="EB12" i="1" s="1"/>
  <c r="EC11" i="1"/>
  <c r="EC12" i="1" s="1"/>
  <c r="ED11" i="1"/>
  <c r="ED12" i="1" s="1"/>
  <c r="BL8" i="1"/>
  <c r="BL42" i="1" s="1"/>
  <c r="BM8" i="1"/>
  <c r="BM42" i="1" s="1"/>
  <c r="BN8" i="1"/>
  <c r="BN42" i="1" s="1"/>
  <c r="BO8" i="1"/>
  <c r="BO42" i="1" s="1"/>
  <c r="BP8" i="1"/>
  <c r="BP42" i="1" s="1"/>
  <c r="BQ8" i="1"/>
  <c r="BQ42" i="1" s="1"/>
  <c r="BR8" i="1"/>
  <c r="BR42" i="1" s="1"/>
  <c r="BS8" i="1"/>
  <c r="BS42" i="1" s="1"/>
  <c r="BT8" i="1"/>
  <c r="BT42" i="1" s="1"/>
  <c r="BU8" i="1"/>
  <c r="BU42" i="1" s="1"/>
  <c r="BV8" i="1"/>
  <c r="BV42" i="1" s="1"/>
  <c r="BW8" i="1"/>
  <c r="BW42" i="1" s="1"/>
  <c r="BX8" i="1"/>
  <c r="BX42" i="1" s="1"/>
  <c r="BY8" i="1"/>
  <c r="BY42" i="1" s="1"/>
  <c r="BZ8" i="1"/>
  <c r="BZ42" i="1" s="1"/>
  <c r="CA8" i="1"/>
  <c r="CA42" i="1" s="1"/>
  <c r="CB8" i="1"/>
  <c r="CB42" i="1" s="1"/>
  <c r="CC8" i="1"/>
  <c r="CC42" i="1" s="1"/>
  <c r="CD8" i="1"/>
  <c r="CD42" i="1" s="1"/>
  <c r="CE8" i="1"/>
  <c r="CE42" i="1" s="1"/>
  <c r="CF8" i="1"/>
  <c r="CF42" i="1" s="1"/>
  <c r="CG8" i="1"/>
  <c r="CG42" i="1" s="1"/>
  <c r="CH8" i="1"/>
  <c r="CH42" i="1" s="1"/>
  <c r="CI8" i="1"/>
  <c r="CI42" i="1" s="1"/>
  <c r="CJ8" i="1"/>
  <c r="CJ42" i="1" s="1"/>
  <c r="CK8" i="1"/>
  <c r="CK42" i="1" s="1"/>
  <c r="CL8" i="1"/>
  <c r="CL42" i="1" s="1"/>
  <c r="CM8" i="1"/>
  <c r="CM42" i="1" s="1"/>
  <c r="CN8" i="1"/>
  <c r="CN42" i="1" s="1"/>
  <c r="CO8" i="1"/>
  <c r="CO42" i="1" s="1"/>
  <c r="CP8" i="1"/>
  <c r="CP42" i="1" s="1"/>
  <c r="CQ8" i="1"/>
  <c r="CQ42" i="1" s="1"/>
  <c r="CR8" i="1"/>
  <c r="CR42" i="1" s="1"/>
  <c r="CS8" i="1"/>
  <c r="CS42" i="1" s="1"/>
  <c r="CT8" i="1"/>
  <c r="CT42" i="1" s="1"/>
  <c r="CU8" i="1"/>
  <c r="CU42" i="1" s="1"/>
  <c r="CV8" i="1"/>
  <c r="CV42" i="1" s="1"/>
  <c r="CW8" i="1"/>
  <c r="CW42" i="1" s="1"/>
  <c r="CX8" i="1"/>
  <c r="CX42" i="1" s="1"/>
  <c r="CY8" i="1"/>
  <c r="CY42" i="1" s="1"/>
  <c r="CZ8" i="1"/>
  <c r="CZ42" i="1" s="1"/>
  <c r="DA8" i="1"/>
  <c r="DA42" i="1" s="1"/>
  <c r="DB8" i="1"/>
  <c r="DB42" i="1" s="1"/>
  <c r="DC8" i="1"/>
  <c r="DC42" i="1" s="1"/>
  <c r="DD8" i="1"/>
  <c r="DD42" i="1" s="1"/>
  <c r="DE8" i="1"/>
  <c r="DE42" i="1" s="1"/>
  <c r="DF8" i="1"/>
  <c r="DF42" i="1" s="1"/>
  <c r="DG8" i="1"/>
  <c r="DG42" i="1" s="1"/>
  <c r="DH8" i="1"/>
  <c r="DH42" i="1" s="1"/>
  <c r="DI8" i="1"/>
  <c r="DI42" i="1" s="1"/>
  <c r="DJ8" i="1"/>
  <c r="DJ42" i="1" s="1"/>
  <c r="DK8" i="1"/>
  <c r="DK42" i="1" s="1"/>
  <c r="DL8" i="1"/>
  <c r="DL42" i="1" s="1"/>
  <c r="DM8" i="1"/>
  <c r="DM42" i="1" s="1"/>
  <c r="DN8" i="1"/>
  <c r="DN42" i="1" s="1"/>
  <c r="DO8" i="1"/>
  <c r="DO42" i="1" s="1"/>
  <c r="DP8" i="1"/>
  <c r="DP42" i="1" s="1"/>
  <c r="DQ8" i="1"/>
  <c r="DQ42" i="1" s="1"/>
  <c r="DR8" i="1"/>
  <c r="DR42" i="1" s="1"/>
  <c r="DS8" i="1"/>
  <c r="DS42" i="1" s="1"/>
  <c r="DT8" i="1"/>
  <c r="DT42" i="1" s="1"/>
  <c r="DU8" i="1"/>
  <c r="DU42" i="1" s="1"/>
  <c r="DV8" i="1"/>
  <c r="DV42" i="1" s="1"/>
  <c r="DW8" i="1"/>
  <c r="DW42" i="1" s="1"/>
  <c r="DX8" i="1"/>
  <c r="DX42" i="1" s="1"/>
  <c r="DY8" i="1"/>
  <c r="DY42" i="1" s="1"/>
  <c r="DZ8" i="1"/>
  <c r="DZ42" i="1" s="1"/>
  <c r="EA8" i="1"/>
  <c r="EA42" i="1" s="1"/>
  <c r="EB8" i="1"/>
  <c r="EB42" i="1" s="1"/>
  <c r="EC8" i="1"/>
  <c r="EC42" i="1" s="1"/>
  <c r="ED8" i="1"/>
  <c r="ED42" i="1" s="1"/>
  <c r="BF40" i="1"/>
  <c r="BG40" i="1"/>
  <c r="BH40" i="1"/>
  <c r="BI40" i="1"/>
  <c r="BJ40" i="1"/>
  <c r="BK40" i="1"/>
  <c r="BF41" i="1"/>
  <c r="BG41" i="1"/>
  <c r="BH41" i="1"/>
  <c r="BI41" i="1"/>
  <c r="BJ41" i="1"/>
  <c r="BK41" i="1"/>
  <c r="BF43" i="1"/>
  <c r="BG43" i="1"/>
  <c r="BH43" i="1"/>
  <c r="BI43" i="1"/>
  <c r="BJ43" i="1"/>
  <c r="BK43" i="1"/>
  <c r="BF44" i="1"/>
  <c r="BG44" i="1"/>
  <c r="BH44" i="1"/>
  <c r="BI44" i="1"/>
  <c r="BJ44" i="1"/>
  <c r="BK44" i="1"/>
  <c r="BF47" i="1"/>
  <c r="BG47" i="1"/>
  <c r="BH47" i="1"/>
  <c r="BI47" i="1"/>
  <c r="BJ47" i="1"/>
  <c r="BK47" i="1"/>
  <c r="BF48" i="1"/>
  <c r="BG48" i="1"/>
  <c r="BH48" i="1"/>
  <c r="BI48" i="1"/>
  <c r="BJ48" i="1"/>
  <c r="BK48" i="1"/>
  <c r="BF50" i="1"/>
  <c r="BG50" i="1"/>
  <c r="BH50" i="1"/>
  <c r="BI50" i="1"/>
  <c r="BJ50" i="1"/>
  <c r="BK50" i="1"/>
  <c r="BF51" i="1"/>
  <c r="BG51" i="1"/>
  <c r="BH51" i="1"/>
  <c r="BI51" i="1"/>
  <c r="BJ51" i="1"/>
  <c r="BK51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B8" i="1"/>
  <c r="BB42" i="1" s="1"/>
  <c r="AY33" i="1"/>
  <c r="AY45" i="1" s="1"/>
  <c r="AZ33" i="1"/>
  <c r="AZ45" i="1" s="1"/>
  <c r="BA33" i="1"/>
  <c r="BA45" i="1" s="1"/>
  <c r="BB33" i="1"/>
  <c r="BB45" i="1" s="1"/>
  <c r="BC33" i="1"/>
  <c r="BC45" i="1" s="1"/>
  <c r="BD33" i="1"/>
  <c r="BD45" i="1" s="1"/>
  <c r="BE33" i="1"/>
  <c r="BE45" i="1" s="1"/>
  <c r="BF33" i="1"/>
  <c r="BF45" i="1" s="1"/>
  <c r="BG33" i="1"/>
  <c r="BG45" i="1" s="1"/>
  <c r="BH33" i="1"/>
  <c r="BH45" i="1" s="1"/>
  <c r="BI33" i="1"/>
  <c r="BI45" i="1" s="1"/>
  <c r="BJ33" i="1"/>
  <c r="BJ45" i="1" s="1"/>
  <c r="BK33" i="1"/>
  <c r="BK45" i="1" s="1"/>
  <c r="AY26" i="1"/>
  <c r="AY27" i="1" s="1"/>
  <c r="AY46" i="1" s="1"/>
  <c r="AZ26" i="1"/>
  <c r="AZ27" i="1" s="1"/>
  <c r="AZ46" i="1" s="1"/>
  <c r="BA26" i="1"/>
  <c r="BA27" i="1" s="1"/>
  <c r="BA46" i="1" s="1"/>
  <c r="BB26" i="1"/>
  <c r="BB27" i="1" s="1"/>
  <c r="BB46" i="1" s="1"/>
  <c r="BC26" i="1"/>
  <c r="BC27" i="1" s="1"/>
  <c r="BC46" i="1" s="1"/>
  <c r="BD26" i="1"/>
  <c r="BD27" i="1" s="1"/>
  <c r="BD46" i="1" s="1"/>
  <c r="BE26" i="1"/>
  <c r="BE27" i="1" s="1"/>
  <c r="BE46" i="1" s="1"/>
  <c r="BF26" i="1"/>
  <c r="BF27" i="1" s="1"/>
  <c r="BF46" i="1" s="1"/>
  <c r="BG26" i="1"/>
  <c r="BG27" i="1" s="1"/>
  <c r="BG46" i="1" s="1"/>
  <c r="BH26" i="1"/>
  <c r="BH27" i="1" s="1"/>
  <c r="BH46" i="1" s="1"/>
  <c r="BI26" i="1"/>
  <c r="BI27" i="1" s="1"/>
  <c r="BI46" i="1" s="1"/>
  <c r="BJ26" i="1"/>
  <c r="BJ27" i="1" s="1"/>
  <c r="BJ46" i="1" s="1"/>
  <c r="AY16" i="1"/>
  <c r="AY49" i="1" s="1"/>
  <c r="AZ16" i="1"/>
  <c r="AZ49" i="1" s="1"/>
  <c r="BA16" i="1"/>
  <c r="BA49" i="1" s="1"/>
  <c r="BB16" i="1"/>
  <c r="BB49" i="1" s="1"/>
  <c r="BC16" i="1"/>
  <c r="BC49" i="1" s="1"/>
  <c r="BD16" i="1"/>
  <c r="BD49" i="1" s="1"/>
  <c r="BE16" i="1"/>
  <c r="BE49" i="1" s="1"/>
  <c r="BF16" i="1"/>
  <c r="BF49" i="1" s="1"/>
  <c r="BG16" i="1"/>
  <c r="BG49" i="1" s="1"/>
  <c r="BH16" i="1"/>
  <c r="BH49" i="1" s="1"/>
  <c r="BI16" i="1"/>
  <c r="BI49" i="1" s="1"/>
  <c r="BJ16" i="1"/>
  <c r="BJ49" i="1" s="1"/>
  <c r="BK16" i="1"/>
  <c r="BK49" i="1" s="1"/>
  <c r="AY11" i="1"/>
  <c r="AY12" i="1" s="1"/>
  <c r="AZ11" i="1"/>
  <c r="AZ12" i="1" s="1"/>
  <c r="BA11" i="1"/>
  <c r="BA12" i="1" s="1"/>
  <c r="BB11" i="1"/>
  <c r="BB12" i="1" s="1"/>
  <c r="BC11" i="1"/>
  <c r="BC12" i="1" s="1"/>
  <c r="BD11" i="1"/>
  <c r="BD12" i="1" s="1"/>
  <c r="BE11" i="1"/>
  <c r="BE12" i="1" s="1"/>
  <c r="BF11" i="1"/>
  <c r="BF12" i="1" s="1"/>
  <c r="BG11" i="1"/>
  <c r="BG12" i="1" s="1"/>
  <c r="BH11" i="1"/>
  <c r="BH12" i="1" s="1"/>
  <c r="BI11" i="1"/>
  <c r="BI12" i="1" s="1"/>
  <c r="BJ11" i="1"/>
  <c r="BJ12" i="1" s="1"/>
  <c r="BK11" i="1"/>
  <c r="BK12" i="1" s="1"/>
  <c r="AY8" i="1"/>
  <c r="AY42" i="1" s="1"/>
  <c r="AZ8" i="1"/>
  <c r="AZ42" i="1" s="1"/>
  <c r="BA8" i="1"/>
  <c r="BA42" i="1" s="1"/>
  <c r="BC8" i="1"/>
  <c r="BC42" i="1" s="1"/>
  <c r="BD8" i="1"/>
  <c r="BD42" i="1" s="1"/>
  <c r="BE8" i="1"/>
  <c r="BE42" i="1" s="1"/>
  <c r="BF8" i="1"/>
  <c r="BF42" i="1" s="1"/>
  <c r="BG8" i="1"/>
  <c r="BG42" i="1" s="1"/>
  <c r="BH8" i="1"/>
  <c r="BH42" i="1" s="1"/>
  <c r="BI8" i="1"/>
  <c r="BI42" i="1" s="1"/>
  <c r="BJ8" i="1"/>
  <c r="BJ42" i="1" s="1"/>
  <c r="BK8" i="1"/>
  <c r="BK42" i="1" s="1"/>
  <c r="AC33" i="1"/>
  <c r="AC45" i="1" s="1"/>
  <c r="AD33" i="1"/>
  <c r="AD45" i="1" s="1"/>
  <c r="AE33" i="1"/>
  <c r="AE45" i="1" s="1"/>
  <c r="AF33" i="1"/>
  <c r="AF45" i="1" s="1"/>
  <c r="AG33" i="1"/>
  <c r="AG45" i="1" s="1"/>
  <c r="AH33" i="1"/>
  <c r="AH45" i="1" s="1"/>
  <c r="AI33" i="1"/>
  <c r="AI45" i="1" s="1"/>
  <c r="AJ33" i="1"/>
  <c r="AJ45" i="1" s="1"/>
  <c r="AK33" i="1"/>
  <c r="AK45" i="1" s="1"/>
  <c r="AL33" i="1"/>
  <c r="AL45" i="1" s="1"/>
  <c r="AM33" i="1"/>
  <c r="AM45" i="1" s="1"/>
  <c r="AN33" i="1"/>
  <c r="AN45" i="1" s="1"/>
  <c r="AO33" i="1"/>
  <c r="AO45" i="1" s="1"/>
  <c r="AP33" i="1"/>
  <c r="AP45" i="1" s="1"/>
  <c r="AQ33" i="1"/>
  <c r="AQ45" i="1" s="1"/>
  <c r="AR33" i="1"/>
  <c r="AR45" i="1" s="1"/>
  <c r="AS33" i="1"/>
  <c r="AS45" i="1" s="1"/>
  <c r="AT33" i="1"/>
  <c r="AT45" i="1" s="1"/>
  <c r="AU33" i="1"/>
  <c r="AU45" i="1" s="1"/>
  <c r="AV33" i="1"/>
  <c r="AV45" i="1" s="1"/>
  <c r="AW33" i="1"/>
  <c r="AW45" i="1" s="1"/>
  <c r="AX33" i="1"/>
  <c r="AX45" i="1" s="1"/>
  <c r="AC26" i="1"/>
  <c r="AC27" i="1" s="1"/>
  <c r="AC46" i="1" s="1"/>
  <c r="AD26" i="1"/>
  <c r="AD27" i="1" s="1"/>
  <c r="AD46" i="1" s="1"/>
  <c r="AE26" i="1"/>
  <c r="AE27" i="1" s="1"/>
  <c r="AE46" i="1" s="1"/>
  <c r="AF26" i="1"/>
  <c r="AF27" i="1" s="1"/>
  <c r="AF46" i="1" s="1"/>
  <c r="AG26" i="1"/>
  <c r="AG27" i="1" s="1"/>
  <c r="AG46" i="1" s="1"/>
  <c r="AH26" i="1"/>
  <c r="AH27" i="1" s="1"/>
  <c r="AH46" i="1" s="1"/>
  <c r="AI26" i="1"/>
  <c r="AI27" i="1" s="1"/>
  <c r="AI46" i="1" s="1"/>
  <c r="AJ26" i="1"/>
  <c r="AJ27" i="1" s="1"/>
  <c r="AJ46" i="1" s="1"/>
  <c r="AK26" i="1"/>
  <c r="AK27" i="1" s="1"/>
  <c r="AK46" i="1" s="1"/>
  <c r="AL26" i="1"/>
  <c r="AL27" i="1" s="1"/>
  <c r="AL46" i="1" s="1"/>
  <c r="AM26" i="1"/>
  <c r="AM27" i="1" s="1"/>
  <c r="AM46" i="1" s="1"/>
  <c r="AN26" i="1"/>
  <c r="AN27" i="1" s="1"/>
  <c r="AN46" i="1" s="1"/>
  <c r="AO26" i="1"/>
  <c r="AO27" i="1" s="1"/>
  <c r="AO46" i="1" s="1"/>
  <c r="AP26" i="1"/>
  <c r="AP27" i="1" s="1"/>
  <c r="AP46" i="1" s="1"/>
  <c r="AQ26" i="1"/>
  <c r="AQ27" i="1" s="1"/>
  <c r="AQ46" i="1" s="1"/>
  <c r="AR26" i="1"/>
  <c r="AR27" i="1" s="1"/>
  <c r="AR46" i="1" s="1"/>
  <c r="AS26" i="1"/>
  <c r="AS27" i="1" s="1"/>
  <c r="AS46" i="1" s="1"/>
  <c r="AT26" i="1"/>
  <c r="AT27" i="1" s="1"/>
  <c r="AT46" i="1" s="1"/>
  <c r="AU26" i="1"/>
  <c r="AU27" i="1" s="1"/>
  <c r="AU46" i="1" s="1"/>
  <c r="AV26" i="1"/>
  <c r="AV27" i="1" s="1"/>
  <c r="AV46" i="1" s="1"/>
  <c r="AW26" i="1"/>
  <c r="AW27" i="1" s="1"/>
  <c r="AW46" i="1" s="1"/>
  <c r="AX26" i="1"/>
  <c r="AX27" i="1" s="1"/>
  <c r="AX46" i="1" s="1"/>
  <c r="AC16" i="1"/>
  <c r="AC49" i="1" s="1"/>
  <c r="AD16" i="1"/>
  <c r="AD49" i="1" s="1"/>
  <c r="AE16" i="1"/>
  <c r="AE49" i="1" s="1"/>
  <c r="AF16" i="1"/>
  <c r="AF49" i="1" s="1"/>
  <c r="AG16" i="1"/>
  <c r="AG49" i="1" s="1"/>
  <c r="AH16" i="1"/>
  <c r="AH49" i="1" s="1"/>
  <c r="AI16" i="1"/>
  <c r="AI49" i="1" s="1"/>
  <c r="AJ16" i="1"/>
  <c r="AJ49" i="1" s="1"/>
  <c r="AK16" i="1"/>
  <c r="AK49" i="1" s="1"/>
  <c r="AL16" i="1"/>
  <c r="AL49" i="1" s="1"/>
  <c r="AM16" i="1"/>
  <c r="AM49" i="1" s="1"/>
  <c r="AN16" i="1"/>
  <c r="AN49" i="1" s="1"/>
  <c r="AO16" i="1"/>
  <c r="AO49" i="1" s="1"/>
  <c r="AP16" i="1"/>
  <c r="AP49" i="1" s="1"/>
  <c r="AQ16" i="1"/>
  <c r="AQ49" i="1" s="1"/>
  <c r="AR16" i="1"/>
  <c r="AR49" i="1" s="1"/>
  <c r="AS16" i="1"/>
  <c r="AS49" i="1" s="1"/>
  <c r="AT16" i="1"/>
  <c r="AT49" i="1" s="1"/>
  <c r="AU16" i="1"/>
  <c r="AU49" i="1" s="1"/>
  <c r="AV16" i="1"/>
  <c r="AV49" i="1" s="1"/>
  <c r="AW16" i="1"/>
  <c r="AW49" i="1" s="1"/>
  <c r="AX16" i="1"/>
  <c r="AX49" i="1" s="1"/>
  <c r="AC11" i="1"/>
  <c r="AC12" i="1" s="1"/>
  <c r="AD11" i="1"/>
  <c r="AD12" i="1" s="1"/>
  <c r="AE11" i="1"/>
  <c r="AE12" i="1" s="1"/>
  <c r="AF11" i="1"/>
  <c r="AF12" i="1" s="1"/>
  <c r="AG11" i="1"/>
  <c r="AG12" i="1" s="1"/>
  <c r="AH11" i="1"/>
  <c r="AH12" i="1" s="1"/>
  <c r="AI11" i="1"/>
  <c r="AI12" i="1" s="1"/>
  <c r="AJ11" i="1"/>
  <c r="AJ12" i="1" s="1"/>
  <c r="AK11" i="1"/>
  <c r="AK12" i="1" s="1"/>
  <c r="AL11" i="1"/>
  <c r="AL12" i="1" s="1"/>
  <c r="AM11" i="1"/>
  <c r="AM12" i="1" s="1"/>
  <c r="AN11" i="1"/>
  <c r="AN12" i="1" s="1"/>
  <c r="AO11" i="1"/>
  <c r="AO12" i="1" s="1"/>
  <c r="AP11" i="1"/>
  <c r="AP12" i="1" s="1"/>
  <c r="AQ11" i="1"/>
  <c r="AQ12" i="1" s="1"/>
  <c r="AR11" i="1"/>
  <c r="AR12" i="1" s="1"/>
  <c r="AS11" i="1"/>
  <c r="AS12" i="1" s="1"/>
  <c r="AT11" i="1"/>
  <c r="AT12" i="1" s="1"/>
  <c r="AU11" i="1"/>
  <c r="AU12" i="1" s="1"/>
  <c r="AV11" i="1"/>
  <c r="AV12" i="1" s="1"/>
  <c r="AW11" i="1"/>
  <c r="AW12" i="1" s="1"/>
  <c r="AX11" i="1"/>
  <c r="AX12" i="1" s="1"/>
  <c r="AC8" i="1"/>
  <c r="AC42" i="1" s="1"/>
  <c r="AD8" i="1"/>
  <c r="AD42" i="1" s="1"/>
  <c r="AE8" i="1"/>
  <c r="AE42" i="1" s="1"/>
  <c r="AF8" i="1"/>
  <c r="AF42" i="1" s="1"/>
  <c r="AG8" i="1"/>
  <c r="AG42" i="1" s="1"/>
  <c r="AH8" i="1"/>
  <c r="AH42" i="1" s="1"/>
  <c r="AI8" i="1"/>
  <c r="AI42" i="1" s="1"/>
  <c r="AJ8" i="1"/>
  <c r="AJ42" i="1" s="1"/>
  <c r="AK8" i="1"/>
  <c r="AK42" i="1" s="1"/>
  <c r="AL8" i="1"/>
  <c r="AL42" i="1" s="1"/>
  <c r="AM8" i="1"/>
  <c r="AM42" i="1" s="1"/>
  <c r="AN8" i="1"/>
  <c r="AN42" i="1" s="1"/>
  <c r="AO8" i="1"/>
  <c r="AO42" i="1" s="1"/>
  <c r="AP8" i="1"/>
  <c r="AP42" i="1" s="1"/>
  <c r="AQ8" i="1"/>
  <c r="AQ42" i="1" s="1"/>
  <c r="AR8" i="1"/>
  <c r="AR42" i="1" s="1"/>
  <c r="AS8" i="1"/>
  <c r="AS42" i="1" s="1"/>
  <c r="AT8" i="1"/>
  <c r="AT42" i="1" s="1"/>
  <c r="AU8" i="1"/>
  <c r="AU42" i="1" s="1"/>
  <c r="AV8" i="1"/>
  <c r="AV42" i="1" s="1"/>
  <c r="AW8" i="1"/>
  <c r="AW42" i="1" s="1"/>
  <c r="AX8" i="1"/>
  <c r="AX42" i="1" s="1"/>
  <c r="AB11" i="1"/>
  <c r="AB12" i="1" s="1"/>
  <c r="AB16" i="1"/>
  <c r="AB49" i="1" s="1"/>
  <c r="AB5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D33" i="1"/>
  <c r="D45" i="1" s="1"/>
  <c r="E33" i="1"/>
  <c r="E45" i="1" s="1"/>
  <c r="F33" i="1"/>
  <c r="F45" i="1" s="1"/>
  <c r="G33" i="1"/>
  <c r="G45" i="1" s="1"/>
  <c r="H33" i="1"/>
  <c r="H45" i="1" s="1"/>
  <c r="I33" i="1"/>
  <c r="I45" i="1" s="1"/>
  <c r="J33" i="1"/>
  <c r="J45" i="1" s="1"/>
  <c r="K33" i="1"/>
  <c r="K45" i="1" s="1"/>
  <c r="L33" i="1"/>
  <c r="L45" i="1" s="1"/>
  <c r="M33" i="1"/>
  <c r="M45" i="1" s="1"/>
  <c r="N33" i="1"/>
  <c r="N45" i="1" s="1"/>
  <c r="O33" i="1"/>
  <c r="O45" i="1" s="1"/>
  <c r="P33" i="1"/>
  <c r="P45" i="1" s="1"/>
  <c r="Q33" i="1"/>
  <c r="Q45" i="1" s="1"/>
  <c r="R33" i="1"/>
  <c r="R45" i="1" s="1"/>
  <c r="S33" i="1"/>
  <c r="S45" i="1" s="1"/>
  <c r="T33" i="1"/>
  <c r="T45" i="1" s="1"/>
  <c r="U33" i="1"/>
  <c r="U45" i="1" s="1"/>
  <c r="V33" i="1"/>
  <c r="V45" i="1" s="1"/>
  <c r="W33" i="1"/>
  <c r="W45" i="1" s="1"/>
  <c r="X33" i="1"/>
  <c r="X45" i="1" s="1"/>
  <c r="Y33" i="1"/>
  <c r="Y45" i="1" s="1"/>
  <c r="Z33" i="1"/>
  <c r="Z45" i="1" s="1"/>
  <c r="AA33" i="1"/>
  <c r="AA45" i="1" s="1"/>
  <c r="AB33" i="1"/>
  <c r="AB45" i="1" s="1"/>
  <c r="C36" i="1"/>
  <c r="C37" i="1"/>
  <c r="C38" i="1"/>
  <c r="D26" i="1"/>
  <c r="D27" i="1" s="1"/>
  <c r="D46" i="1" s="1"/>
  <c r="E26" i="1"/>
  <c r="E27" i="1" s="1"/>
  <c r="E46" i="1" s="1"/>
  <c r="F26" i="1"/>
  <c r="F27" i="1" s="1"/>
  <c r="F46" i="1" s="1"/>
  <c r="G26" i="1"/>
  <c r="G27" i="1" s="1"/>
  <c r="G46" i="1" s="1"/>
  <c r="H26" i="1"/>
  <c r="H27" i="1" s="1"/>
  <c r="H46" i="1" s="1"/>
  <c r="I26" i="1"/>
  <c r="I27" i="1" s="1"/>
  <c r="I46" i="1" s="1"/>
  <c r="J26" i="1"/>
  <c r="J27" i="1" s="1"/>
  <c r="J46" i="1" s="1"/>
  <c r="K26" i="1"/>
  <c r="K27" i="1" s="1"/>
  <c r="K46" i="1" s="1"/>
  <c r="L26" i="1"/>
  <c r="L27" i="1" s="1"/>
  <c r="L46" i="1" s="1"/>
  <c r="M26" i="1"/>
  <c r="M27" i="1" s="1"/>
  <c r="M46" i="1" s="1"/>
  <c r="N26" i="1"/>
  <c r="N27" i="1" s="1"/>
  <c r="N46" i="1" s="1"/>
  <c r="O26" i="1"/>
  <c r="O27" i="1" s="1"/>
  <c r="O46" i="1" s="1"/>
  <c r="P26" i="1"/>
  <c r="P27" i="1" s="1"/>
  <c r="P46" i="1" s="1"/>
  <c r="Q26" i="1"/>
  <c r="Q27" i="1" s="1"/>
  <c r="Q46" i="1" s="1"/>
  <c r="R26" i="1"/>
  <c r="R27" i="1" s="1"/>
  <c r="R46" i="1" s="1"/>
  <c r="S26" i="1"/>
  <c r="S27" i="1" s="1"/>
  <c r="S46" i="1" s="1"/>
  <c r="T26" i="1"/>
  <c r="T27" i="1" s="1"/>
  <c r="T46" i="1" s="1"/>
  <c r="U26" i="1"/>
  <c r="U27" i="1" s="1"/>
  <c r="U46" i="1" s="1"/>
  <c r="V26" i="1"/>
  <c r="V27" i="1" s="1"/>
  <c r="V46" i="1" s="1"/>
  <c r="W26" i="1"/>
  <c r="W27" i="1" s="1"/>
  <c r="W46" i="1" s="1"/>
  <c r="X26" i="1"/>
  <c r="X27" i="1" s="1"/>
  <c r="X46" i="1" s="1"/>
  <c r="Y26" i="1"/>
  <c r="Y27" i="1" s="1"/>
  <c r="Y46" i="1" s="1"/>
  <c r="Z26" i="1"/>
  <c r="Z27" i="1" s="1"/>
  <c r="Z46" i="1" s="1"/>
  <c r="AA26" i="1"/>
  <c r="AA27" i="1" s="1"/>
  <c r="AA46" i="1" s="1"/>
  <c r="AB26" i="1"/>
  <c r="AB27" i="1" s="1"/>
  <c r="AB46" i="1" s="1"/>
  <c r="D16" i="1"/>
  <c r="D49" i="1" s="1"/>
  <c r="E16" i="1"/>
  <c r="E49" i="1" s="1"/>
  <c r="F16" i="1"/>
  <c r="F49" i="1" s="1"/>
  <c r="G16" i="1"/>
  <c r="G49" i="1" s="1"/>
  <c r="H16" i="1"/>
  <c r="H49" i="1" s="1"/>
  <c r="I16" i="1"/>
  <c r="I49" i="1" s="1"/>
  <c r="J16" i="1"/>
  <c r="J49" i="1" s="1"/>
  <c r="K16" i="1"/>
  <c r="K49" i="1" s="1"/>
  <c r="L16" i="1"/>
  <c r="L49" i="1" s="1"/>
  <c r="M16" i="1"/>
  <c r="M49" i="1" s="1"/>
  <c r="N16" i="1"/>
  <c r="N49" i="1" s="1"/>
  <c r="O16" i="1"/>
  <c r="O49" i="1" s="1"/>
  <c r="P16" i="1"/>
  <c r="P49" i="1" s="1"/>
  <c r="Q16" i="1"/>
  <c r="Q49" i="1" s="1"/>
  <c r="R16" i="1"/>
  <c r="R49" i="1" s="1"/>
  <c r="S16" i="1"/>
  <c r="S49" i="1" s="1"/>
  <c r="T16" i="1"/>
  <c r="T49" i="1" s="1"/>
  <c r="U16" i="1"/>
  <c r="U49" i="1" s="1"/>
  <c r="V16" i="1"/>
  <c r="V49" i="1" s="1"/>
  <c r="W16" i="1"/>
  <c r="W49" i="1" s="1"/>
  <c r="X16" i="1"/>
  <c r="X49" i="1" s="1"/>
  <c r="Y16" i="1"/>
  <c r="Y49" i="1" s="1"/>
  <c r="Z16" i="1"/>
  <c r="Z49" i="1" s="1"/>
  <c r="AA16" i="1"/>
  <c r="AA49" i="1" s="1"/>
  <c r="D11" i="1"/>
  <c r="D12" i="1" s="1"/>
  <c r="E11" i="1"/>
  <c r="E12" i="1" s="1"/>
  <c r="F11" i="1"/>
  <c r="F12" i="1" s="1"/>
  <c r="H11" i="1"/>
  <c r="H12" i="1" s="1"/>
  <c r="I11" i="1"/>
  <c r="I12" i="1" s="1"/>
  <c r="J11" i="1"/>
  <c r="J12" i="1" s="1"/>
  <c r="K11" i="1"/>
  <c r="K12" i="1" s="1"/>
  <c r="L11" i="1"/>
  <c r="L12" i="1" s="1"/>
  <c r="M11" i="1"/>
  <c r="M12" i="1" s="1"/>
  <c r="N11" i="1"/>
  <c r="N12" i="1" s="1"/>
  <c r="O11" i="1"/>
  <c r="O12" i="1" s="1"/>
  <c r="P11" i="1"/>
  <c r="P12" i="1" s="1"/>
  <c r="Q11" i="1"/>
  <c r="Q12" i="1" s="1"/>
  <c r="R11" i="1"/>
  <c r="R12" i="1" s="1"/>
  <c r="S11" i="1"/>
  <c r="S12" i="1" s="1"/>
  <c r="T11" i="1"/>
  <c r="T12" i="1" s="1"/>
  <c r="U11" i="1"/>
  <c r="U12" i="1" s="1"/>
  <c r="V11" i="1"/>
  <c r="V12" i="1" s="1"/>
  <c r="W11" i="1"/>
  <c r="W12" i="1" s="1"/>
  <c r="X11" i="1"/>
  <c r="X12" i="1" s="1"/>
  <c r="Y11" i="1"/>
  <c r="Y12" i="1" s="1"/>
  <c r="Z11" i="1"/>
  <c r="Z12" i="1" s="1"/>
  <c r="AA11" i="1"/>
  <c r="AA12" i="1" s="1"/>
  <c r="D8" i="1"/>
  <c r="D42" i="1" s="1"/>
  <c r="E8" i="1"/>
  <c r="E42" i="1" s="1"/>
  <c r="F8" i="1"/>
  <c r="F42" i="1" s="1"/>
  <c r="G8" i="1"/>
  <c r="G42" i="1" s="1"/>
  <c r="H8" i="1"/>
  <c r="H42" i="1" s="1"/>
  <c r="I8" i="1"/>
  <c r="I42" i="1" s="1"/>
  <c r="J8" i="1"/>
  <c r="J42" i="1" s="1"/>
  <c r="K8" i="1"/>
  <c r="K42" i="1" s="1"/>
  <c r="L8" i="1"/>
  <c r="L42" i="1" s="1"/>
  <c r="M8" i="1"/>
  <c r="M42" i="1" s="1"/>
  <c r="N8" i="1"/>
  <c r="N42" i="1" s="1"/>
  <c r="O8" i="1"/>
  <c r="O42" i="1" s="1"/>
  <c r="P8" i="1"/>
  <c r="P42" i="1" s="1"/>
  <c r="Q8" i="1"/>
  <c r="Q42" i="1" s="1"/>
  <c r="R8" i="1"/>
  <c r="R42" i="1" s="1"/>
  <c r="S8" i="1"/>
  <c r="S42" i="1" s="1"/>
  <c r="T8" i="1"/>
  <c r="T42" i="1" s="1"/>
  <c r="U8" i="1"/>
  <c r="U42" i="1" s="1"/>
  <c r="V8" i="1"/>
  <c r="V42" i="1" s="1"/>
  <c r="W8" i="1"/>
  <c r="W42" i="1" s="1"/>
  <c r="X8" i="1"/>
  <c r="X42" i="1" s="1"/>
  <c r="Y8" i="1"/>
  <c r="Y42" i="1" s="1"/>
  <c r="Z8" i="1"/>
  <c r="Z42" i="1" s="1"/>
  <c r="AA8" i="1"/>
  <c r="AA42" i="1" s="1"/>
  <c r="AB8" i="1"/>
  <c r="AB42" i="1" s="1"/>
  <c r="C43" i="1"/>
  <c r="C44" i="1"/>
  <c r="C47" i="1"/>
  <c r="C48" i="1"/>
  <c r="C51" i="1"/>
  <c r="B44" i="1"/>
  <c r="C16" i="1"/>
  <c r="C17" i="1" s="1"/>
  <c r="G9" i="1"/>
  <c r="G11" i="1" s="1"/>
  <c r="G12" i="1" s="1"/>
  <c r="B51" i="1"/>
  <c r="C45" i="1"/>
  <c r="C26" i="1"/>
  <c r="C27" i="1" s="1"/>
  <c r="C40" i="1"/>
  <c r="C41" i="1"/>
  <c r="C11" i="1"/>
  <c r="C12" i="1" s="1"/>
  <c r="C42" i="1"/>
  <c r="B42" i="1"/>
  <c r="B40" i="1"/>
  <c r="B50" i="1"/>
  <c r="B48" i="1"/>
  <c r="B47" i="1"/>
  <c r="B43" i="1"/>
  <c r="B41" i="1"/>
  <c r="B26" i="1"/>
  <c r="B27" i="1" s="1"/>
  <c r="B46" i="1" s="1"/>
  <c r="B33" i="1"/>
  <c r="B45" i="1" s="1"/>
  <c r="B11" i="1"/>
  <c r="B12" i="1" s="1"/>
  <c r="FO27" i="1" l="1"/>
  <c r="FO46" i="1" s="1"/>
  <c r="C46" i="1"/>
  <c r="C35" i="1"/>
  <c r="C34" i="1"/>
  <c r="K17" i="1"/>
  <c r="C49" i="1"/>
  <c r="F17" i="1"/>
  <c r="B16" i="1"/>
  <c r="B49" i="1" s="1"/>
</calcChain>
</file>

<file path=xl/sharedStrings.xml><?xml version="1.0" encoding="utf-8"?>
<sst xmlns="http://schemas.openxmlformats.org/spreadsheetml/2006/main" count="298" uniqueCount="257">
  <si>
    <t>Symbol</t>
  </si>
  <si>
    <t>RKLB</t>
  </si>
  <si>
    <t>Industry PE</t>
  </si>
  <si>
    <t>Forward PE Ratio</t>
  </si>
  <si>
    <t>EPS Forward</t>
  </si>
  <si>
    <t>EPS Growth 5y Forward CAGR(%)</t>
  </si>
  <si>
    <t>PEG Ratio</t>
  </si>
  <si>
    <t>Free cash flow</t>
  </si>
  <si>
    <t>Shares outstanding</t>
  </si>
  <si>
    <t>FCFE per Share</t>
  </si>
  <si>
    <t>FCF  Yield</t>
  </si>
  <si>
    <t>Risk-Free Rate</t>
  </si>
  <si>
    <t>Beta</t>
  </si>
  <si>
    <t>Equity Risk Premium</t>
  </si>
  <si>
    <t>Cost of Equity (CoE)</t>
  </si>
  <si>
    <t>ROIC</t>
  </si>
  <si>
    <t>WACC</t>
  </si>
  <si>
    <t>PS Ratio</t>
  </si>
  <si>
    <t>Ebit Margin</t>
  </si>
  <si>
    <t>Tax rate</t>
  </si>
  <si>
    <t>After-tax Op. Margin</t>
  </si>
  <si>
    <t>Reinvestment Rate</t>
  </si>
  <si>
    <t>Sustainable Growth Rate (SGR)</t>
  </si>
  <si>
    <t>Gross Margin</t>
  </si>
  <si>
    <t>Return On Equity (ROE)</t>
  </si>
  <si>
    <t>Debt / Equity Ratio (DE)</t>
  </si>
  <si>
    <t>Current ratio</t>
  </si>
  <si>
    <t>EV/Sales</t>
  </si>
  <si>
    <t>After-tax Op. Margin / 2</t>
  </si>
  <si>
    <t>Total return CAGR 3years</t>
  </si>
  <si>
    <t>Total return CAGR 5years</t>
  </si>
  <si>
    <t>FCF CAGR 3years</t>
  </si>
  <si>
    <t>FCF CAGR 5years</t>
  </si>
  <si>
    <t>Dividend  CAGR 3 years</t>
  </si>
  <si>
    <t xml:space="preserve">Price per Share </t>
  </si>
  <si>
    <t>NVDA</t>
  </si>
  <si>
    <t>Check List</t>
  </si>
  <si>
    <t>IREN</t>
  </si>
  <si>
    <t>ASTS</t>
  </si>
  <si>
    <t>RDW</t>
  </si>
  <si>
    <t>RR</t>
  </si>
  <si>
    <t>NBIS</t>
  </si>
  <si>
    <t>AMZN</t>
  </si>
  <si>
    <t>GOOGL</t>
  </si>
  <si>
    <t>AAPL</t>
  </si>
  <si>
    <t>AVGO</t>
  </si>
  <si>
    <t>MSFT</t>
  </si>
  <si>
    <t>META</t>
  </si>
  <si>
    <t>TSLA</t>
  </si>
  <si>
    <t>TSM</t>
  </si>
  <si>
    <t>BRK.B</t>
  </si>
  <si>
    <t>JPM</t>
  </si>
  <si>
    <t>LLY</t>
  </si>
  <si>
    <t>WMT</t>
  </si>
  <si>
    <t>ORCL</t>
  </si>
  <si>
    <t>V</t>
  </si>
  <si>
    <t>MA</t>
  </si>
  <si>
    <t>XOM</t>
  </si>
  <si>
    <t>NFLX</t>
  </si>
  <si>
    <t>PLTR</t>
  </si>
  <si>
    <t>0.04.</t>
  </si>
  <si>
    <t>ASML</t>
  </si>
  <si>
    <t>MU</t>
  </si>
  <si>
    <t>JNJ</t>
  </si>
  <si>
    <t>COST</t>
  </si>
  <si>
    <t>BAC</t>
  </si>
  <si>
    <t>ABBV</t>
  </si>
  <si>
    <t>AMD</t>
  </si>
  <si>
    <t>BABA</t>
  </si>
  <si>
    <t>HD</t>
  </si>
  <si>
    <t>PG</t>
  </si>
  <si>
    <t>GE</t>
  </si>
  <si>
    <t>CVX</t>
  </si>
  <si>
    <t>KO</t>
  </si>
  <si>
    <t>SAP</t>
  </si>
  <si>
    <t>IBM</t>
  </si>
  <si>
    <t>UNH</t>
  </si>
  <si>
    <t>CSCO</t>
  </si>
  <si>
    <t>WFC</t>
  </si>
  <si>
    <t>CAT</t>
  </si>
  <si>
    <t>TM</t>
  </si>
  <si>
    <t>RTX</t>
  </si>
  <si>
    <t>AZN</t>
  </si>
  <si>
    <t>MS</t>
  </si>
  <si>
    <t>AXP</t>
  </si>
  <si>
    <t>GS</t>
  </si>
  <si>
    <t>PM</t>
  </si>
  <si>
    <t>TMUS</t>
  </si>
  <si>
    <t>CRM</t>
  </si>
  <si>
    <t>QCOM</t>
  </si>
  <si>
    <t>AMAT</t>
  </si>
  <si>
    <t>LRCX</t>
  </si>
  <si>
    <t>TXN</t>
  </si>
  <si>
    <t>BA</t>
  </si>
  <si>
    <t>ARM</t>
  </si>
  <si>
    <t>KLAC</t>
  </si>
  <si>
    <t>INTC</t>
  </si>
  <si>
    <t>UBER</t>
  </si>
  <si>
    <t>INTU</t>
  </si>
  <si>
    <t>PANW</t>
  </si>
  <si>
    <t>ABT</t>
  </si>
  <si>
    <t>SHEL</t>
  </si>
  <si>
    <t>TMO</t>
  </si>
  <si>
    <t>MRK</t>
  </si>
  <si>
    <t>MCD</t>
  </si>
  <si>
    <t>APP</t>
  </si>
  <si>
    <t>RY</t>
  </si>
  <si>
    <t>NVO</t>
  </si>
  <si>
    <t>DIS</t>
  </si>
  <si>
    <t>ISRG</t>
  </si>
  <si>
    <t>SHOP</t>
  </si>
  <si>
    <t>LIN</t>
  </si>
  <si>
    <t>PEP</t>
  </si>
  <si>
    <t>PDD</t>
  </si>
  <si>
    <t>C</t>
  </si>
  <si>
    <t>BX</t>
  </si>
  <si>
    <t>NOW</t>
  </si>
  <si>
    <t>BLK</t>
  </si>
  <si>
    <t>T</t>
  </si>
  <si>
    <t>NEE</t>
  </si>
  <si>
    <t>SCHW</t>
  </si>
  <si>
    <t>AMGN</t>
  </si>
  <si>
    <t>MUFG</t>
  </si>
  <si>
    <t>APH</t>
  </si>
  <si>
    <t>STX</t>
  </si>
  <si>
    <t>HDB</t>
  </si>
  <si>
    <t>ANET</t>
  </si>
  <si>
    <t>VZ</t>
  </si>
  <si>
    <t>SONY</t>
  </si>
  <si>
    <t>TJX</t>
  </si>
  <si>
    <t>BKNG</t>
  </si>
  <si>
    <t>GEV</t>
  </si>
  <si>
    <t>ACN</t>
  </si>
  <si>
    <t>UL</t>
  </si>
  <si>
    <t>SAN</t>
  </si>
  <si>
    <t>SPGI</t>
  </si>
  <si>
    <t>DHR</t>
  </si>
  <si>
    <t>BSX</t>
  </si>
  <si>
    <t>GILD</t>
  </si>
  <si>
    <t>ETN</t>
  </si>
  <si>
    <t>LMT</t>
  </si>
  <si>
    <t>DELL</t>
  </si>
  <si>
    <t>CRWD</t>
  </si>
  <si>
    <t>HOOD</t>
  </si>
  <si>
    <t>SBUX</t>
  </si>
  <si>
    <t>MELI</t>
  </si>
  <si>
    <t>PFE</t>
  </si>
  <si>
    <t>AXON</t>
  </si>
  <si>
    <t>BHP</t>
  </si>
  <si>
    <t>COF</t>
  </si>
  <si>
    <t>TD</t>
  </si>
  <si>
    <t>ADBE</t>
  </si>
  <si>
    <t>SYK</t>
  </si>
  <si>
    <t>TTE</t>
  </si>
  <si>
    <t>UNP</t>
  </si>
  <si>
    <t>LOW</t>
  </si>
  <si>
    <t>WELL</t>
  </si>
  <si>
    <t>PGR</t>
  </si>
  <si>
    <t>SPOT</t>
  </si>
  <si>
    <t>DE</t>
  </si>
  <si>
    <t>HON</t>
  </si>
  <si>
    <t>BUD</t>
  </si>
  <si>
    <t>SNY</t>
  </si>
  <si>
    <t>UBS</t>
  </si>
  <si>
    <t>PLD</t>
  </si>
  <si>
    <t>BTI</t>
  </si>
  <si>
    <t>MDT</t>
  </si>
  <si>
    <t>RIO</t>
  </si>
  <si>
    <t>BBVA</t>
  </si>
  <si>
    <t>CB</t>
  </si>
  <si>
    <t>ADI</t>
  </si>
  <si>
    <t>CEG</t>
  </si>
  <si>
    <t>SCCO</t>
  </si>
  <si>
    <t>HCA</t>
  </si>
  <si>
    <t>IBN</t>
  </si>
  <si>
    <t>KKR</t>
  </si>
  <si>
    <t>COP</t>
  </si>
  <si>
    <t>PH</t>
  </si>
  <si>
    <t>MCK</t>
  </si>
  <si>
    <t>BN</t>
  </si>
  <si>
    <t>SMFG</t>
  </si>
  <si>
    <t>VRTX</t>
  </si>
  <si>
    <t>ENB</t>
  </si>
  <si>
    <t>ADP</t>
  </si>
  <si>
    <t>SO</t>
  </si>
  <si>
    <t>CVS</t>
  </si>
  <si>
    <t>CME</t>
  </si>
  <si>
    <t>CMCSA</t>
  </si>
  <si>
    <t>MO</t>
  </si>
  <si>
    <t>TT</t>
  </si>
  <si>
    <t>MRVL</t>
  </si>
  <si>
    <t>PBR</t>
  </si>
  <si>
    <t>FCX</t>
  </si>
  <si>
    <t>B</t>
  </si>
  <si>
    <t>RKT</t>
  </si>
  <si>
    <t>CCL</t>
  </si>
  <si>
    <t>SOFI</t>
  </si>
  <si>
    <t>SNDK</t>
  </si>
  <si>
    <t>ASX</t>
  </si>
  <si>
    <t>BE</t>
  </si>
  <si>
    <t>MCHP</t>
  </si>
  <si>
    <t>SMCI</t>
  </si>
  <si>
    <t>SNAP</t>
  </si>
  <si>
    <t>CELH</t>
  </si>
  <si>
    <t>LYFT</t>
  </si>
  <si>
    <t>NEM</t>
  </si>
  <si>
    <t>BMY</t>
  </si>
  <si>
    <t>SE</t>
  </si>
  <si>
    <t>DASH</t>
  </si>
  <si>
    <t>GLW</t>
  </si>
  <si>
    <t>WMB</t>
  </si>
  <si>
    <t>VRT</t>
  </si>
  <si>
    <t>DDOG</t>
  </si>
  <si>
    <t>WDC</t>
  </si>
  <si>
    <t>CPNG</t>
  </si>
  <si>
    <t>TTWO</t>
  </si>
  <si>
    <t>CCJ</t>
  </si>
  <si>
    <t>RDDT</t>
  </si>
  <si>
    <t>EQT</t>
  </si>
  <si>
    <t>EL</t>
  </si>
  <si>
    <t>KGC</t>
  </si>
  <si>
    <t>CRDO</t>
  </si>
  <si>
    <t>ALAB</t>
  </si>
  <si>
    <t>SNOW</t>
  </si>
  <si>
    <t>HWM</t>
  </si>
  <si>
    <t>NET</t>
  </si>
  <si>
    <t>AEM</t>
  </si>
  <si>
    <t>Semiconductor</t>
  </si>
  <si>
    <t>Software Application</t>
  </si>
  <si>
    <t>Oil &amp; Gas Integrated</t>
  </si>
  <si>
    <t>Gold</t>
  </si>
  <si>
    <t>AMX</t>
  </si>
  <si>
    <t>RCL</t>
  </si>
  <si>
    <t>WDAY</t>
  </si>
  <si>
    <t>PSX</t>
  </si>
  <si>
    <t>ZS</t>
  </si>
  <si>
    <t>ARES</t>
  </si>
  <si>
    <t>WPM</t>
  </si>
  <si>
    <t>TAK</t>
  </si>
  <si>
    <t>TEAM</t>
  </si>
  <si>
    <t>FLUT</t>
  </si>
  <si>
    <t>TRGP</t>
  </si>
  <si>
    <t>CLS</t>
  </si>
  <si>
    <t>VTR</t>
  </si>
  <si>
    <t>GFI</t>
  </si>
  <si>
    <t>EXPE</t>
  </si>
  <si>
    <t>IRM</t>
  </si>
  <si>
    <t>CIEN</t>
  </si>
  <si>
    <t>DOW</t>
  </si>
  <si>
    <t>ENTG</t>
  </si>
  <si>
    <t>FN</t>
  </si>
  <si>
    <t>MSKI</t>
  </si>
  <si>
    <t>NOVT</t>
  </si>
  <si>
    <t>SANM</t>
  </si>
  <si>
    <t>BHE</t>
  </si>
  <si>
    <t>KEYS</t>
  </si>
  <si>
    <t>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</si>
</sst>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22"/>
      <scheme val="minor"/>
    </font>
    <font>
      <b/>
      <sz val="12"/>
      <color theme="1"/>
      <name val="TH SarabunPSK"/>
      <family val="2"/>
      <charset val="222"/>
    </font>
    <font>
      <b/>
      <sz val="12"/>
      <name val="TH SarabunPSK"/>
      <family val="2"/>
      <charset val="222"/>
    </font>
    <font>
      <b/>
      <sz val="12"/>
      <color rgb="FF111827"/>
      <name val="TH SarabunPSK"/>
      <family val="2"/>
      <charset val="222"/>
    </font>
    <font>
      <b/>
      <sz val="12"/>
      <color theme="1"/>
      <name val="Aptos Narrow"/>
      <family val="2"/>
      <charset val="222"/>
      <scheme val="minor"/>
    </font>
    <font>
      <b/>
      <sz val="14"/>
      <name val="Aptos Narrow"/>
      <family val="2"/>
      <scheme val="minor"/>
    </font>
    <font>
      <b/>
      <sz val="11"/>
      <color theme="1"/>
      <name val="TH SarabunPSK"/>
      <family val="2"/>
      <charset val="22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0" borderId="0" xfId="0" applyFont="1"/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locked="0" hidden="1"/>
    </xf>
    <xf numFmtId="0" fontId="3" fillId="0" borderId="1" xfId="0" applyFont="1" applyBorder="1" applyAlignment="1" applyProtection="1">
      <alignment horizontal="center" vertical="center"/>
      <protection locked="0" hidden="1"/>
    </xf>
    <xf numFmtId="0" fontId="1" fillId="0" borderId="1" xfId="0" applyFont="1" applyBorder="1" applyAlignment="1" applyProtection="1">
      <alignment horizontal="left" vertical="center"/>
      <protection hidden="1"/>
    </xf>
    <xf numFmtId="2" fontId="1" fillId="0" borderId="1" xfId="0" applyNumberFormat="1" applyFont="1" applyBorder="1" applyAlignment="1" applyProtection="1">
      <alignment horizontal="center" vertical="center"/>
      <protection hidden="1"/>
    </xf>
    <xf numFmtId="10" fontId="1" fillId="0" borderId="1" xfId="0" applyNumberFormat="1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/>
      <protection locked="0" hidden="1"/>
    </xf>
    <xf numFmtId="10" fontId="3" fillId="0" borderId="1" xfId="0" applyNumberFormat="1" applyFont="1" applyBorder="1" applyAlignment="1" applyProtection="1">
      <alignment horizontal="center" vertical="center"/>
      <protection locked="0" hidden="1"/>
    </xf>
    <xf numFmtId="0" fontId="5" fillId="0" borderId="0" xfId="0" applyFont="1" applyAlignment="1" applyProtection="1">
      <alignment horizontal="left"/>
      <protection hidden="1"/>
    </xf>
    <xf numFmtId="0" fontId="1" fillId="0" borderId="0" xfId="0" applyFont="1"/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6" borderId="1" xfId="0" applyFont="1" applyFill="1" applyBorder="1" applyAlignment="1" applyProtection="1">
      <alignment horizontal="left" vertical="center"/>
      <protection hidden="1"/>
    </xf>
    <xf numFmtId="0" fontId="1" fillId="7" borderId="1" xfId="0" applyFont="1" applyFill="1" applyBorder="1" applyAlignment="1" applyProtection="1">
      <alignment horizontal="left" vertical="center"/>
      <protection hidden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8" borderId="1" xfId="0" applyFont="1" applyFill="1" applyBorder="1" applyAlignment="1" applyProtection="1">
      <alignment horizontal="left" vertical="center"/>
      <protection hidden="1"/>
    </xf>
    <xf numFmtId="0" fontId="1" fillId="6" borderId="1" xfId="0" applyFont="1" applyFill="1" applyBorder="1" applyProtection="1">
      <protection hidden="1"/>
    </xf>
    <xf numFmtId="0" fontId="2" fillId="9" borderId="1" xfId="0" applyFont="1" applyFill="1" applyBorder="1" applyAlignment="1" applyProtection="1">
      <alignment horizontal="left"/>
      <protection hidden="1"/>
    </xf>
    <xf numFmtId="0" fontId="1" fillId="4" borderId="1" xfId="0" applyFont="1" applyFill="1" applyBorder="1"/>
    <xf numFmtId="0" fontId="1" fillId="2" borderId="1" xfId="0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 applyProtection="1">
      <alignment horizontal="center" vertical="center"/>
      <protection locked="0" hidden="1"/>
    </xf>
    <xf numFmtId="2" fontId="1" fillId="5" borderId="1" xfId="0" applyNumberFormat="1" applyFont="1" applyFill="1" applyBorder="1" applyAlignment="1" applyProtection="1">
      <alignment horizontal="center" vertical="center"/>
      <protection hidden="1"/>
    </xf>
    <xf numFmtId="10" fontId="1" fillId="5" borderId="1" xfId="0" applyNumberFormat="1" applyFont="1" applyFill="1" applyBorder="1" applyAlignment="1" applyProtection="1">
      <alignment horizontal="center" vertical="center"/>
      <protection hidden="1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10" borderId="1" xfId="0" applyFont="1" applyFill="1" applyBorder="1"/>
    <xf numFmtId="0" fontId="1" fillId="3" borderId="0" xfId="0" applyFont="1" applyFill="1"/>
    <xf numFmtId="2" fontId="1" fillId="0" borderId="2" xfId="0" applyNumberFormat="1" applyFont="1" applyBorder="1" applyAlignment="1" applyProtection="1">
      <alignment horizontal="center" vertical="center"/>
      <protection hidden="1"/>
    </xf>
    <xf numFmtId="10" fontId="1" fillId="0" borderId="2" xfId="0" applyNumberFormat="1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2" fontId="1" fillId="0" borderId="3" xfId="0" applyNumberFormat="1" applyFont="1" applyBorder="1" applyAlignment="1" applyProtection="1">
      <alignment horizontal="center" vertical="center"/>
      <protection hidden="1"/>
    </xf>
    <xf numFmtId="10" fontId="1" fillId="0" borderId="3" xfId="0" applyNumberFormat="1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10" borderId="3" xfId="0" applyFont="1" applyFill="1" applyBorder="1"/>
    <xf numFmtId="0" fontId="1" fillId="2" borderId="3" xfId="0" applyFont="1" applyFill="1" applyBorder="1"/>
    <xf numFmtId="0" fontId="1" fillId="4" borderId="3" xfId="0" applyFont="1" applyFill="1" applyBorder="1"/>
    <xf numFmtId="0" fontId="1" fillId="10" borderId="2" xfId="0" applyFont="1" applyFill="1" applyBorder="1"/>
    <xf numFmtId="0" fontId="1" fillId="2" borderId="2" xfId="0" applyFont="1" applyFill="1" applyBorder="1"/>
    <xf numFmtId="0" fontId="1" fillId="4" borderId="2" xfId="0" applyFont="1" applyFill="1" applyBorder="1"/>
    <xf numFmtId="0" fontId="0" fillId="3" borderId="0" xfId="0" applyFill="1"/>
    <xf numFmtId="0" fontId="6" fillId="3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0" fillId="3" borderId="0" xfId="0" applyFill="1" applyAlignment="1">
      <alignment horizontal="center"/>
    </xf>
    <xf numFmtId="0" fontId="0" fillId="11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DF43-177B-4D48-8896-A8C8F47109F1}">
  <dimension ref="A1:HY57"/>
  <sheetViews>
    <sheetView tabSelected="1" zoomScale="115" zoomScaleNormal="115" workbookViewId="0">
      <pane xSplit="1" ySplit="2" topLeftCell="HW39" activePane="bottomRight" state="frozen"/>
      <selection pane="topRight" activeCell="B1" sqref="B1"/>
      <selection pane="bottomLeft" activeCell="A3" sqref="A3"/>
      <selection pane="bottomRight" activeCell="IA40" sqref="IA40"/>
    </sheetView>
  </sheetViews>
  <sheetFormatPr defaultRowHeight="18" x14ac:dyDescent="0.5"/>
  <cols>
    <col min="1" max="1" width="22.19921875" bestFit="1" customWidth="1"/>
    <col min="2" max="2" width="30.3984375" hidden="1" customWidth="1"/>
    <col min="3" max="3" width="31.796875" bestFit="1" customWidth="1"/>
    <col min="4" max="17" width="32.09765625" style="11" customWidth="1"/>
    <col min="18" max="18" width="30.796875" style="11" customWidth="1"/>
    <col min="19" max="29" width="32.09765625" style="11" customWidth="1"/>
    <col min="30" max="30" width="31.796875" style="11" customWidth="1"/>
    <col min="31" max="31" width="30.3984375" style="11" customWidth="1"/>
    <col min="32" max="34" width="31.796875" style="11" customWidth="1"/>
    <col min="35" max="41" width="32.09765625" style="11" customWidth="1"/>
    <col min="42" max="42" width="30.796875" style="11" customWidth="1"/>
    <col min="43" max="43" width="32.09765625" style="11" customWidth="1"/>
    <col min="44" max="44" width="30.796875" style="11" customWidth="1"/>
    <col min="45" max="48" width="32.09765625" style="11" customWidth="1"/>
    <col min="49" max="51" width="30.796875" style="11" customWidth="1"/>
    <col min="52" max="62" width="32.09765625" style="11" customWidth="1"/>
    <col min="63" max="63" width="32.09765625" style="11" bestFit="1" customWidth="1"/>
    <col min="64" max="64" width="32.09765625" style="11" hidden="1" customWidth="1"/>
    <col min="65" max="71" width="32.3984375" style="11" hidden="1" customWidth="1"/>
    <col min="72" max="72" width="30.796875" style="11" hidden="1" customWidth="1"/>
    <col min="73" max="79" width="32.3984375" style="11" hidden="1" customWidth="1"/>
    <col min="80" max="81" width="30.796875" style="11" hidden="1" customWidth="1"/>
    <col min="82" max="84" width="32.3984375" style="11" hidden="1" customWidth="1"/>
    <col min="85" max="86" width="30.796875" style="11" hidden="1" customWidth="1"/>
    <col min="87" max="87" width="32.3984375" style="11" hidden="1" customWidth="1"/>
    <col min="88" max="88" width="30.796875" style="11" hidden="1" customWidth="1"/>
    <col min="89" max="90" width="32.3984375" style="11" hidden="1" customWidth="1"/>
    <col min="91" max="91" width="30.796875" style="11" hidden="1" customWidth="1"/>
    <col min="92" max="99" width="32.3984375" style="11" hidden="1" customWidth="1"/>
    <col min="100" max="100" width="30.796875" style="11" hidden="1" customWidth="1"/>
    <col min="101" max="108" width="32.3984375" style="11" hidden="1" customWidth="1"/>
    <col min="109" max="109" width="30.796875" style="11" hidden="1" customWidth="1"/>
    <col min="110" max="111" width="32.3984375" style="11" hidden="1" customWidth="1"/>
    <col min="112" max="114" width="31.796875" style="11" hidden="1" customWidth="1"/>
    <col min="115" max="116" width="30.3984375" style="11" hidden="1" customWidth="1"/>
    <col min="117" max="121" width="31.796875" style="11" hidden="1" customWidth="1"/>
    <col min="122" max="123" width="30.3984375" style="11" hidden="1" customWidth="1"/>
    <col min="124" max="128" width="31.796875" style="11" hidden="1" customWidth="1"/>
    <col min="129" max="130" width="30.3984375" style="11" hidden="1" customWidth="1"/>
    <col min="131" max="132" width="31.796875" style="11" hidden="1" customWidth="1"/>
    <col min="133" max="133" width="32.3984375" style="11" hidden="1" customWidth="1"/>
    <col min="134" max="135" width="30.59765625" style="11" hidden="1" customWidth="1"/>
    <col min="136" max="136" width="32.3984375" style="11" hidden="1" customWidth="1"/>
    <col min="137" max="137" width="30.59765625" style="11" hidden="1" customWidth="1"/>
    <col min="138" max="140" width="32.3984375" style="11" hidden="1" customWidth="1"/>
    <col min="141" max="141" width="30.59765625" style="11" hidden="1" customWidth="1"/>
    <col min="142" max="145" width="32.3984375" style="11" hidden="1" customWidth="1"/>
    <col min="146" max="146" width="0" style="11" hidden="1" customWidth="1"/>
    <col min="147" max="147" width="32.3984375" style="11" hidden="1" customWidth="1"/>
    <col min="148" max="155" width="0" style="11" hidden="1" customWidth="1"/>
    <col min="156" max="156" width="32.3984375" style="11" hidden="1" customWidth="1"/>
    <col min="157" max="157" width="32.3984375" style="11" bestFit="1" customWidth="1"/>
    <col min="158" max="161" width="32.3984375" style="11" hidden="1" customWidth="1"/>
    <col min="162" max="162" width="30.59765625" style="11" hidden="1" customWidth="1"/>
    <col min="163" max="170" width="32.3984375" style="11" hidden="1" customWidth="1"/>
    <col min="171" max="171" width="32.3984375" style="11" bestFit="1" customWidth="1"/>
    <col min="172" max="173" width="32.3984375" style="11" customWidth="1"/>
    <col min="174" max="174" width="8.796875" style="11" customWidth="1"/>
    <col min="175" max="188" width="32.3984375" style="11" customWidth="1"/>
    <col min="189" max="192" width="32.09765625" style="11" customWidth="1"/>
    <col min="193" max="198" width="32.09765625" style="11" hidden="1" customWidth="1"/>
    <col min="199" max="201" width="32.3984375" style="11" hidden="1" customWidth="1"/>
    <col min="202" max="209" width="8.796875" style="11" hidden="1" customWidth="1"/>
    <col min="210" max="210" width="32.3984375" style="11" hidden="1" customWidth="1"/>
    <col min="211" max="211" width="33.5" style="11" hidden="1" customWidth="1"/>
    <col min="212" max="212" width="8.796875" style="11" hidden="1" customWidth="1"/>
    <col min="213" max="214" width="32.09765625" style="11" hidden="1" customWidth="1"/>
    <col min="215" max="215" width="8.796875" style="11" hidden="1" customWidth="1"/>
    <col min="216" max="216" width="32.09765625" style="11" hidden="1" customWidth="1"/>
    <col min="217" max="217" width="33.5" style="11" bestFit="1" customWidth="1"/>
    <col min="218" max="220" width="8.796875" style="11" hidden="1" customWidth="1"/>
    <col min="221" max="222" width="33.5" style="11" hidden="1" customWidth="1"/>
    <col min="223" max="223" width="8.796875" style="11" hidden="1" customWidth="1"/>
    <col min="224" max="224" width="33.5" style="11" hidden="1" customWidth="1"/>
    <col min="225" max="225" width="8.796875" style="11" hidden="1" customWidth="1"/>
    <col min="226" max="226" width="32.5" style="11" hidden="1" customWidth="1"/>
    <col min="227" max="228" width="31.796875" style="11" hidden="1" customWidth="1"/>
    <col min="229" max="229" width="0" style="11" hidden="1" customWidth="1"/>
    <col min="230" max="230" width="31.796875" style="11" hidden="1" customWidth="1"/>
    <col min="231" max="231" width="31.796875" style="11" bestFit="1" customWidth="1"/>
    <col min="232" max="233" width="0" style="11" hidden="1" customWidth="1"/>
    <col min="234" max="16384" width="8.796875" style="11"/>
  </cols>
  <sheetData>
    <row r="1" spans="1:233" customFormat="1" x14ac:dyDescent="0.5">
      <c r="CW1" s="11"/>
      <c r="GQ1" s="52"/>
      <c r="GR1" s="52"/>
      <c r="GS1" s="52"/>
      <c r="GT1" s="53">
        <v>8</v>
      </c>
      <c r="GU1" s="53"/>
      <c r="GV1" s="53"/>
      <c r="GW1" s="53"/>
      <c r="GX1" s="53"/>
    </row>
    <row r="2" spans="1:233" x14ac:dyDescent="0.5">
      <c r="A2" s="12" t="s">
        <v>0</v>
      </c>
      <c r="B2" s="12" t="s">
        <v>1</v>
      </c>
      <c r="C2" s="15" t="s">
        <v>35</v>
      </c>
      <c r="D2" s="15" t="s">
        <v>37</v>
      </c>
      <c r="E2" s="15" t="s">
        <v>38</v>
      </c>
      <c r="F2" s="15" t="s">
        <v>39</v>
      </c>
      <c r="G2" s="15" t="s">
        <v>40</v>
      </c>
      <c r="H2" s="15" t="s">
        <v>41</v>
      </c>
      <c r="I2" s="15" t="s">
        <v>42</v>
      </c>
      <c r="J2" s="15" t="s">
        <v>43</v>
      </c>
      <c r="K2" s="29" t="s">
        <v>44</v>
      </c>
      <c r="L2" s="15" t="s">
        <v>45</v>
      </c>
      <c r="M2" s="15" t="s">
        <v>46</v>
      </c>
      <c r="N2" s="15" t="s">
        <v>47</v>
      </c>
      <c r="O2" s="31" t="s">
        <v>48</v>
      </c>
      <c r="P2" s="31" t="s">
        <v>49</v>
      </c>
      <c r="Q2" s="31" t="s">
        <v>50</v>
      </c>
      <c r="R2" s="31" t="s">
        <v>51</v>
      </c>
      <c r="S2" s="31" t="s">
        <v>52</v>
      </c>
      <c r="T2" s="31" t="s">
        <v>53</v>
      </c>
      <c r="U2" s="31" t="s">
        <v>54</v>
      </c>
      <c r="V2" s="31" t="s">
        <v>55</v>
      </c>
      <c r="W2" s="31" t="s">
        <v>56</v>
      </c>
      <c r="X2" s="31" t="s">
        <v>57</v>
      </c>
      <c r="Y2" s="31" t="s">
        <v>58</v>
      </c>
      <c r="Z2" s="11" t="s">
        <v>59</v>
      </c>
      <c r="AA2" s="11" t="s">
        <v>61</v>
      </c>
      <c r="AB2" s="15" t="s">
        <v>62</v>
      </c>
      <c r="AC2" s="11" t="s">
        <v>63</v>
      </c>
      <c r="AD2" s="11" t="s">
        <v>64</v>
      </c>
      <c r="AE2" s="11" t="s">
        <v>65</v>
      </c>
      <c r="AF2" s="15" t="s">
        <v>66</v>
      </c>
      <c r="AG2" s="11" t="s">
        <v>67</v>
      </c>
      <c r="AH2" s="15" t="s">
        <v>68</v>
      </c>
      <c r="AI2" s="11" t="s">
        <v>69</v>
      </c>
      <c r="AJ2" s="11" t="s">
        <v>70</v>
      </c>
      <c r="AK2" s="11" t="s">
        <v>71</v>
      </c>
      <c r="AL2" s="11" t="s">
        <v>72</v>
      </c>
      <c r="AM2" s="11" t="s">
        <v>73</v>
      </c>
      <c r="AN2" s="11" t="s">
        <v>74</v>
      </c>
      <c r="AO2" s="11" t="s">
        <v>75</v>
      </c>
      <c r="AP2" s="11" t="s">
        <v>76</v>
      </c>
      <c r="AQ2" s="11" t="s">
        <v>77</v>
      </c>
      <c r="AR2" s="11" t="s">
        <v>78</v>
      </c>
      <c r="AS2" s="11" t="s">
        <v>79</v>
      </c>
      <c r="AT2" s="11" t="s">
        <v>80</v>
      </c>
      <c r="AU2" s="11" t="s">
        <v>81</v>
      </c>
      <c r="AV2" s="11" t="s">
        <v>82</v>
      </c>
      <c r="AW2" s="11" t="s">
        <v>83</v>
      </c>
      <c r="AX2" s="11" t="s">
        <v>84</v>
      </c>
      <c r="AY2" s="11" t="s">
        <v>85</v>
      </c>
      <c r="AZ2" s="11" t="s">
        <v>86</v>
      </c>
      <c r="BA2" s="11" t="s">
        <v>87</v>
      </c>
      <c r="BB2" s="11" t="s">
        <v>88</v>
      </c>
      <c r="BC2" s="11" t="s">
        <v>89</v>
      </c>
      <c r="BD2" s="11" t="s">
        <v>90</v>
      </c>
      <c r="BE2" s="15" t="s">
        <v>91</v>
      </c>
      <c r="BF2" s="11" t="s">
        <v>92</v>
      </c>
      <c r="BG2" s="11" t="s">
        <v>93</v>
      </c>
      <c r="BH2" s="11" t="s">
        <v>94</v>
      </c>
      <c r="BI2" s="11" t="s">
        <v>95</v>
      </c>
      <c r="BJ2" s="11" t="s">
        <v>96</v>
      </c>
      <c r="BK2" s="15" t="s">
        <v>97</v>
      </c>
      <c r="BL2" s="15" t="s">
        <v>98</v>
      </c>
      <c r="BM2" s="11" t="s">
        <v>99</v>
      </c>
      <c r="BN2" s="11" t="s">
        <v>100</v>
      </c>
      <c r="BO2" s="11" t="s">
        <v>101</v>
      </c>
      <c r="BP2" s="11" t="s">
        <v>102</v>
      </c>
      <c r="BQ2" s="11" t="s">
        <v>103</v>
      </c>
      <c r="BR2" s="11" t="s">
        <v>104</v>
      </c>
      <c r="BS2" s="11" t="s">
        <v>105</v>
      </c>
      <c r="BT2" s="11" t="s">
        <v>106</v>
      </c>
      <c r="BU2" s="11" t="s">
        <v>107</v>
      </c>
      <c r="BV2" s="11" t="s">
        <v>108</v>
      </c>
      <c r="BW2" s="11" t="s">
        <v>109</v>
      </c>
      <c r="BX2" s="11" t="s">
        <v>110</v>
      </c>
      <c r="BY2" s="11" t="s">
        <v>111</v>
      </c>
      <c r="BZ2" s="11" t="s">
        <v>112</v>
      </c>
      <c r="CA2" s="11" t="s">
        <v>113</v>
      </c>
      <c r="CB2" s="11" t="s">
        <v>114</v>
      </c>
      <c r="CC2" s="11" t="s">
        <v>115</v>
      </c>
      <c r="CD2" s="11" t="s">
        <v>116</v>
      </c>
      <c r="CE2" s="11" t="s">
        <v>117</v>
      </c>
      <c r="CF2" s="11" t="s">
        <v>118</v>
      </c>
      <c r="CG2" s="11" t="s">
        <v>119</v>
      </c>
      <c r="CH2" s="11" t="s">
        <v>120</v>
      </c>
      <c r="CI2" s="11" t="s">
        <v>121</v>
      </c>
      <c r="CJ2" s="11" t="s">
        <v>122</v>
      </c>
      <c r="CK2" s="11" t="s">
        <v>123</v>
      </c>
      <c r="CL2" s="11" t="s">
        <v>124</v>
      </c>
      <c r="CM2" s="11" t="s">
        <v>125</v>
      </c>
      <c r="CN2" s="11" t="s">
        <v>126</v>
      </c>
      <c r="CO2" s="11" t="s">
        <v>127</v>
      </c>
      <c r="CP2" s="11" t="s">
        <v>128</v>
      </c>
      <c r="CQ2" s="11" t="s">
        <v>129</v>
      </c>
      <c r="CR2" s="11" t="s">
        <v>130</v>
      </c>
      <c r="CS2" s="11" t="s">
        <v>131</v>
      </c>
      <c r="CT2" s="11" t="s">
        <v>132</v>
      </c>
      <c r="CU2" s="11" t="s">
        <v>133</v>
      </c>
      <c r="CV2" s="11" t="s">
        <v>134</v>
      </c>
      <c r="CW2" s="11" t="s">
        <v>135</v>
      </c>
      <c r="CX2" s="11" t="s">
        <v>136</v>
      </c>
      <c r="CY2" s="11" t="s">
        <v>137</v>
      </c>
      <c r="CZ2" s="11" t="s">
        <v>138</v>
      </c>
      <c r="DA2" s="11" t="s">
        <v>139</v>
      </c>
      <c r="DB2" s="11" t="s">
        <v>140</v>
      </c>
      <c r="DC2" s="11" t="s">
        <v>141</v>
      </c>
      <c r="DD2" s="11" t="s">
        <v>142</v>
      </c>
      <c r="DE2" s="11" t="s">
        <v>143</v>
      </c>
      <c r="DF2" s="11" t="s">
        <v>144</v>
      </c>
      <c r="DG2" s="11" t="s">
        <v>145</v>
      </c>
      <c r="DH2" s="11" t="s">
        <v>146</v>
      </c>
      <c r="DI2" s="11" t="s">
        <v>147</v>
      </c>
      <c r="DJ2" s="11" t="s">
        <v>148</v>
      </c>
      <c r="DK2" s="11" t="s">
        <v>149</v>
      </c>
      <c r="DL2" s="11" t="s">
        <v>150</v>
      </c>
      <c r="DM2" s="11" t="s">
        <v>151</v>
      </c>
      <c r="DN2" s="11" t="s">
        <v>152</v>
      </c>
      <c r="DO2" s="11" t="s">
        <v>153</v>
      </c>
      <c r="DP2" s="11" t="s">
        <v>154</v>
      </c>
      <c r="DQ2" s="11" t="s">
        <v>155</v>
      </c>
      <c r="DR2" s="11" t="s">
        <v>156</v>
      </c>
      <c r="DS2" s="11" t="s">
        <v>157</v>
      </c>
      <c r="DT2" s="11" t="s">
        <v>158</v>
      </c>
      <c r="DU2" s="11" t="s">
        <v>159</v>
      </c>
      <c r="DV2" s="11" t="s">
        <v>160</v>
      </c>
      <c r="DW2" s="11" t="s">
        <v>161</v>
      </c>
      <c r="DX2" s="11" t="s">
        <v>162</v>
      </c>
      <c r="DY2" s="11" t="s">
        <v>163</v>
      </c>
      <c r="DZ2" s="11" t="s">
        <v>164</v>
      </c>
      <c r="EA2" s="11" t="s">
        <v>165</v>
      </c>
      <c r="EB2" s="11" t="s">
        <v>166</v>
      </c>
      <c r="EC2" s="11" t="s">
        <v>167</v>
      </c>
      <c r="ED2" s="11" t="s">
        <v>168</v>
      </c>
      <c r="EE2" s="11" t="s">
        <v>169</v>
      </c>
      <c r="EF2" s="11" t="s">
        <v>170</v>
      </c>
      <c r="EG2" s="11" t="s">
        <v>171</v>
      </c>
      <c r="EH2" s="11" t="s">
        <v>172</v>
      </c>
      <c r="EI2" s="11" t="s">
        <v>173</v>
      </c>
      <c r="EJ2" s="11" t="s">
        <v>174</v>
      </c>
      <c r="EK2" s="11" t="s">
        <v>175</v>
      </c>
      <c r="EL2" s="11" t="s">
        <v>176</v>
      </c>
      <c r="EM2" s="11" t="s">
        <v>177</v>
      </c>
      <c r="EN2" s="11" t="s">
        <v>178</v>
      </c>
      <c r="EO2" s="11" t="s">
        <v>179</v>
      </c>
      <c r="EP2" s="11" t="s">
        <v>180</v>
      </c>
      <c r="EQ2" s="11" t="s">
        <v>181</v>
      </c>
      <c r="ER2" s="11" t="s">
        <v>182</v>
      </c>
      <c r="ES2" s="11" t="s">
        <v>183</v>
      </c>
      <c r="ET2" s="11" t="s">
        <v>184</v>
      </c>
      <c r="EU2" s="11" t="s">
        <v>185</v>
      </c>
      <c r="EV2" s="11" t="s">
        <v>186</v>
      </c>
      <c r="EW2" s="11" t="s">
        <v>187</v>
      </c>
      <c r="EX2" s="11" t="s">
        <v>188</v>
      </c>
      <c r="EY2" s="11" t="s">
        <v>189</v>
      </c>
      <c r="EZ2" s="11" t="s">
        <v>190</v>
      </c>
      <c r="FA2" s="15" t="s">
        <v>191</v>
      </c>
      <c r="FB2" s="11" t="s">
        <v>192</v>
      </c>
      <c r="FC2" s="11" t="s">
        <v>193</v>
      </c>
      <c r="FD2" s="11" t="s">
        <v>194</v>
      </c>
      <c r="FE2" s="11" t="s">
        <v>195</v>
      </c>
      <c r="FF2" s="11" t="s">
        <v>196</v>
      </c>
      <c r="FG2" s="11" t="s">
        <v>197</v>
      </c>
      <c r="FH2" s="11" t="s">
        <v>198</v>
      </c>
      <c r="FI2" s="11" t="s">
        <v>199</v>
      </c>
      <c r="FJ2" s="11" t="s">
        <v>200</v>
      </c>
      <c r="FK2" s="11" t="s">
        <v>201</v>
      </c>
      <c r="FL2" s="11" t="s">
        <v>202</v>
      </c>
      <c r="FM2" s="11" t="s">
        <v>203</v>
      </c>
      <c r="FN2" s="11" t="s">
        <v>204</v>
      </c>
      <c r="FO2" s="15" t="s">
        <v>205</v>
      </c>
      <c r="FP2" s="11" t="s">
        <v>206</v>
      </c>
      <c r="FQ2" s="11" t="s">
        <v>207</v>
      </c>
      <c r="FR2" s="11" t="s">
        <v>208</v>
      </c>
      <c r="FS2" s="11" t="s">
        <v>209</v>
      </c>
      <c r="FT2" s="11" t="s">
        <v>210</v>
      </c>
      <c r="FU2" s="11" t="s">
        <v>211</v>
      </c>
      <c r="FV2" s="11" t="s">
        <v>212</v>
      </c>
      <c r="FW2" s="11" t="s">
        <v>213</v>
      </c>
      <c r="FX2" s="11" t="s">
        <v>214</v>
      </c>
      <c r="FY2" s="11" t="s">
        <v>215</v>
      </c>
      <c r="FZ2" s="11" t="s">
        <v>216</v>
      </c>
      <c r="GA2" s="11" t="s">
        <v>217</v>
      </c>
      <c r="GB2" s="11" t="s">
        <v>218</v>
      </c>
      <c r="GC2" s="11" t="s">
        <v>219</v>
      </c>
      <c r="GD2" s="15" t="s">
        <v>220</v>
      </c>
      <c r="GE2" s="11" t="s">
        <v>221</v>
      </c>
      <c r="GF2" s="11" t="s">
        <v>222</v>
      </c>
      <c r="GG2" s="11" t="s">
        <v>223</v>
      </c>
      <c r="GH2" s="11" t="s">
        <v>224</v>
      </c>
      <c r="GI2" s="11" t="s">
        <v>225</v>
      </c>
      <c r="GJ2" s="15" t="s">
        <v>226</v>
      </c>
      <c r="GK2" s="11" t="s">
        <v>231</v>
      </c>
      <c r="GL2" s="11" t="s">
        <v>232</v>
      </c>
      <c r="GM2" s="11" t="s">
        <v>233</v>
      </c>
      <c r="GN2" s="11" t="s">
        <v>234</v>
      </c>
      <c r="GO2" s="11" t="s">
        <v>235</v>
      </c>
      <c r="GP2" s="11" t="s">
        <v>236</v>
      </c>
      <c r="GQ2" s="11" t="s">
        <v>237</v>
      </c>
      <c r="GR2" s="11" t="s">
        <v>238</v>
      </c>
      <c r="GS2" s="11" t="s">
        <v>239</v>
      </c>
      <c r="GT2" s="11" t="s">
        <v>240</v>
      </c>
      <c r="GU2" s="11" t="s">
        <v>241</v>
      </c>
      <c r="GV2" s="11" t="s">
        <v>242</v>
      </c>
      <c r="GW2" s="11" t="s">
        <v>243</v>
      </c>
      <c r="GX2" s="11" t="s">
        <v>244</v>
      </c>
      <c r="GY2" s="11" t="s">
        <v>219</v>
      </c>
      <c r="GZ2" s="11" t="s">
        <v>245</v>
      </c>
      <c r="HA2" s="11" t="s">
        <v>246</v>
      </c>
      <c r="HB2" s="11" t="s">
        <v>247</v>
      </c>
      <c r="HC2" s="11" t="s">
        <v>43</v>
      </c>
      <c r="HD2" s="11" t="s">
        <v>211</v>
      </c>
      <c r="HE2" s="50" t="s">
        <v>111</v>
      </c>
      <c r="HF2" s="50" t="s">
        <v>209</v>
      </c>
      <c r="HG2" s="50" t="s">
        <v>248</v>
      </c>
      <c r="HH2" s="50" t="s">
        <v>249</v>
      </c>
      <c r="HI2" s="11" t="s">
        <v>91</v>
      </c>
      <c r="HK2" s="11" t="s">
        <v>250</v>
      </c>
      <c r="HL2" s="11" t="s">
        <v>247</v>
      </c>
      <c r="HM2" s="11" t="s">
        <v>209</v>
      </c>
      <c r="HN2" s="11" t="s">
        <v>123</v>
      </c>
      <c r="HO2" s="11" t="s">
        <v>251</v>
      </c>
      <c r="HP2" s="11" t="s">
        <v>190</v>
      </c>
      <c r="HQ2" s="11" t="s">
        <v>252</v>
      </c>
      <c r="HR2" s="11" t="s">
        <v>253</v>
      </c>
      <c r="HS2" s="11" t="s">
        <v>254</v>
      </c>
      <c r="HT2" s="11" t="s">
        <v>255</v>
      </c>
      <c r="HU2" s="11" t="s">
        <v>256</v>
      </c>
      <c r="HV2" s="11" t="s">
        <v>94</v>
      </c>
      <c r="HW2" s="11" t="s">
        <v>35</v>
      </c>
      <c r="HX2" s="11" t="s">
        <v>61</v>
      </c>
      <c r="HY2" s="11" t="s">
        <v>95</v>
      </c>
    </row>
    <row r="3" spans="1:233" x14ac:dyDescent="0.5">
      <c r="A3" s="13" t="s">
        <v>34</v>
      </c>
      <c r="B3" s="3">
        <v>56.57</v>
      </c>
      <c r="C3" s="16">
        <v>164.69</v>
      </c>
      <c r="D3" s="16">
        <v>66.63</v>
      </c>
      <c r="E3" s="16">
        <v>70.05</v>
      </c>
      <c r="F3" s="16">
        <v>6.95</v>
      </c>
      <c r="G3" s="16">
        <v>4.0999999999999996</v>
      </c>
      <c r="H3" s="16">
        <v>110.54</v>
      </c>
      <c r="I3" s="16">
        <v>249.32</v>
      </c>
      <c r="J3" s="16">
        <v>277.54000000000002</v>
      </c>
      <c r="K3" s="27">
        <v>269.42</v>
      </c>
      <c r="L3" s="16">
        <v>360.48</v>
      </c>
      <c r="M3" s="16">
        <v>513.35</v>
      </c>
      <c r="N3" s="16">
        <v>638.39</v>
      </c>
      <c r="O3" s="11">
        <v>445.91</v>
      </c>
      <c r="P3" s="11">
        <v>289.24</v>
      </c>
      <c r="Q3" s="11">
        <v>493.15300000000002</v>
      </c>
      <c r="R3" s="11">
        <v>313.42</v>
      </c>
      <c r="S3" s="11">
        <v>937.44</v>
      </c>
      <c r="T3" s="11">
        <v>101.68</v>
      </c>
      <c r="U3" s="11">
        <v>243.8</v>
      </c>
      <c r="V3" s="11">
        <v>336.96</v>
      </c>
      <c r="W3" s="11">
        <v>553.28</v>
      </c>
      <c r="X3" s="11">
        <v>114.5</v>
      </c>
      <c r="Y3" s="11">
        <v>1097.02</v>
      </c>
      <c r="Z3" s="11">
        <v>175.05</v>
      </c>
      <c r="AA3" s="11">
        <v>1029.2</v>
      </c>
      <c r="AB3" s="16">
        <v>320.39</v>
      </c>
      <c r="AC3" s="11">
        <v>186.97</v>
      </c>
      <c r="AD3" s="11">
        <v>933.71</v>
      </c>
      <c r="AE3" s="11">
        <v>53.47</v>
      </c>
      <c r="AF3" s="16">
        <v>217.86</v>
      </c>
      <c r="AG3" s="11">
        <v>229.62</v>
      </c>
      <c r="AH3" s="16">
        <v>162.81</v>
      </c>
      <c r="AI3" s="11">
        <v>371.93</v>
      </c>
      <c r="AJ3" s="11">
        <v>147.13999999999999</v>
      </c>
      <c r="AK3" s="11">
        <v>300.08999999999997</v>
      </c>
      <c r="AL3" s="11">
        <v>155.57</v>
      </c>
      <c r="AM3" s="11">
        <v>70.5</v>
      </c>
      <c r="AN3" s="11">
        <v>250</v>
      </c>
      <c r="AO3" s="11">
        <v>305.04000000000002</v>
      </c>
      <c r="AP3" s="11">
        <v>316</v>
      </c>
      <c r="AQ3" s="11">
        <v>71.19</v>
      </c>
      <c r="AR3" s="11">
        <v>84.59</v>
      </c>
      <c r="AS3" s="11">
        <v>554.94000000000005</v>
      </c>
      <c r="AT3" s="11">
        <v>201.78</v>
      </c>
      <c r="AU3" s="11">
        <v>175.38</v>
      </c>
      <c r="AV3" s="11">
        <v>84.64</v>
      </c>
      <c r="AW3" s="11">
        <v>159.66999999999999</v>
      </c>
      <c r="AX3" s="11">
        <v>364.12</v>
      </c>
      <c r="AY3" s="11">
        <v>766.71</v>
      </c>
      <c r="AZ3" s="11">
        <v>151.72</v>
      </c>
      <c r="BA3" s="11">
        <v>207.12</v>
      </c>
      <c r="BB3" s="11">
        <v>236.78</v>
      </c>
      <c r="BC3" s="11">
        <v>169.08</v>
      </c>
      <c r="BD3" s="11">
        <v>225.58</v>
      </c>
      <c r="BE3" s="35">
        <v>155.08000000000001</v>
      </c>
      <c r="BF3" s="11">
        <v>157.83000000000001</v>
      </c>
      <c r="BG3" s="11">
        <v>192.8</v>
      </c>
      <c r="BH3" s="11">
        <v>147.19999999999999</v>
      </c>
      <c r="BI3" s="11">
        <v>1166.6400000000001</v>
      </c>
      <c r="BJ3" s="11">
        <v>37.22</v>
      </c>
      <c r="BK3" s="16">
        <v>69.42</v>
      </c>
      <c r="BL3" s="16">
        <v>638.05999999999995</v>
      </c>
      <c r="BM3" s="11">
        <v>209.44</v>
      </c>
      <c r="BN3" s="11">
        <v>126.36</v>
      </c>
      <c r="BO3" s="11">
        <v>75.59</v>
      </c>
      <c r="BP3" s="11">
        <v>572.41</v>
      </c>
      <c r="BQ3" s="11">
        <v>86.28</v>
      </c>
      <c r="BR3" s="11">
        <v>299.66000000000003</v>
      </c>
      <c r="BS3" s="11">
        <v>619.92999999999995</v>
      </c>
      <c r="BT3" s="11">
        <v>145.46</v>
      </c>
      <c r="BU3" s="11">
        <v>45.68</v>
      </c>
      <c r="BV3" s="11">
        <v>110.74</v>
      </c>
      <c r="BW3" s="11">
        <v>560</v>
      </c>
      <c r="BX3" s="11">
        <v>152.41</v>
      </c>
      <c r="BY3" s="11">
        <v>420.51</v>
      </c>
      <c r="BZ3" s="11">
        <v>142.94999999999999</v>
      </c>
      <c r="CA3" s="11">
        <v>135.78</v>
      </c>
      <c r="CB3" s="11">
        <v>100.79</v>
      </c>
      <c r="CC3" s="11">
        <v>145.94</v>
      </c>
      <c r="CD3" s="11">
        <v>861.87</v>
      </c>
      <c r="CE3" s="11">
        <v>1082.2</v>
      </c>
      <c r="CF3" s="11">
        <v>24.83</v>
      </c>
      <c r="CG3" s="11">
        <v>83.93</v>
      </c>
      <c r="CH3" s="11">
        <v>95.24</v>
      </c>
      <c r="CI3" s="11">
        <v>320.2</v>
      </c>
      <c r="CJ3" s="11">
        <v>15.08</v>
      </c>
      <c r="CK3" s="11">
        <v>139.09</v>
      </c>
      <c r="CL3" s="11">
        <v>279.35000000000002</v>
      </c>
      <c r="CM3" s="11">
        <v>35.81</v>
      </c>
      <c r="CN3" s="11">
        <v>134.65</v>
      </c>
      <c r="CO3" s="11">
        <v>40.03</v>
      </c>
      <c r="CP3" s="11">
        <v>27.71</v>
      </c>
      <c r="CQ3" s="11">
        <v>144.61000000000001</v>
      </c>
      <c r="CR3" s="11">
        <v>4940</v>
      </c>
      <c r="CS3" s="11">
        <v>575.13</v>
      </c>
      <c r="CT3" s="11">
        <v>245.76</v>
      </c>
      <c r="CU3" s="11">
        <v>61.47</v>
      </c>
      <c r="CV3" s="11">
        <v>10.35</v>
      </c>
      <c r="CW3" s="11">
        <v>496.42</v>
      </c>
      <c r="CX3" s="11">
        <v>209.94</v>
      </c>
      <c r="CY3" s="11">
        <v>100.02</v>
      </c>
      <c r="CZ3" s="11">
        <v>118.84</v>
      </c>
      <c r="DA3" s="11">
        <v>373.77</v>
      </c>
      <c r="DB3" s="11">
        <v>458.35</v>
      </c>
      <c r="DC3" s="11">
        <v>146.69999999999999</v>
      </c>
      <c r="DD3" s="11">
        <v>539.80999999999995</v>
      </c>
      <c r="DE3" s="11">
        <v>130.36000000000001</v>
      </c>
      <c r="DF3" s="11">
        <v>85.57</v>
      </c>
      <c r="DG3" s="11">
        <v>2108.6</v>
      </c>
      <c r="DH3" s="11">
        <v>24.43</v>
      </c>
      <c r="DI3" s="11">
        <v>602.51</v>
      </c>
      <c r="DJ3" s="11">
        <v>55.16</v>
      </c>
      <c r="DK3" s="11">
        <v>217.82</v>
      </c>
      <c r="DL3" s="11">
        <v>80.900000000000006</v>
      </c>
      <c r="DM3" s="11">
        <v>326.95</v>
      </c>
      <c r="DN3" s="11">
        <v>356.03</v>
      </c>
      <c r="DO3" s="11">
        <v>62.26</v>
      </c>
      <c r="DP3" s="11">
        <v>221.48</v>
      </c>
      <c r="DQ3" s="11">
        <v>233.16</v>
      </c>
      <c r="DR3" s="11">
        <v>190.25</v>
      </c>
      <c r="DS3" s="11">
        <v>217.27</v>
      </c>
      <c r="DT3" s="11">
        <v>616.91</v>
      </c>
      <c r="DU3" s="11">
        <v>467.79</v>
      </c>
      <c r="DV3" s="11">
        <v>194.07</v>
      </c>
      <c r="DW3" s="11">
        <v>63.28</v>
      </c>
      <c r="DX3" s="11">
        <v>49.66</v>
      </c>
      <c r="DY3" s="11">
        <v>38.31</v>
      </c>
      <c r="DZ3" s="11">
        <v>125.6</v>
      </c>
      <c r="EA3" s="11">
        <v>54.59</v>
      </c>
      <c r="EB3" s="11">
        <v>92.2</v>
      </c>
      <c r="EC3" s="11">
        <v>69.33</v>
      </c>
      <c r="ED3" s="11">
        <v>20.420000000000002</v>
      </c>
      <c r="EE3" s="11">
        <v>287.55</v>
      </c>
      <c r="EF3" s="11">
        <v>228.48</v>
      </c>
      <c r="EG3" s="11">
        <v>358.39</v>
      </c>
      <c r="EH3" s="11">
        <v>136.61000000000001</v>
      </c>
      <c r="EI3" s="11">
        <v>476.61</v>
      </c>
      <c r="EJ3" s="11">
        <v>45.81</v>
      </c>
      <c r="EK3" s="11">
        <v>121.32</v>
      </c>
      <c r="EL3" s="11">
        <v>86.83</v>
      </c>
      <c r="EM3" s="11">
        <v>844.01</v>
      </c>
      <c r="EN3" s="11">
        <v>851.99</v>
      </c>
      <c r="EO3" s="11">
        <v>45.81</v>
      </c>
      <c r="EQ3" s="11">
        <v>409.47</v>
      </c>
      <c r="EZ3" s="11">
        <v>90.92</v>
      </c>
      <c r="FA3" s="16">
        <v>20.69</v>
      </c>
      <c r="FB3" s="11">
        <v>39.81</v>
      </c>
      <c r="FC3" s="11">
        <v>33.090000000000003</v>
      </c>
      <c r="FD3" s="11">
        <v>16.16</v>
      </c>
      <c r="FE3" s="11">
        <v>26.73</v>
      </c>
      <c r="FF3" s="11">
        <v>28.21</v>
      </c>
      <c r="FG3" s="11">
        <v>239.48</v>
      </c>
      <c r="FH3" s="11">
        <v>15.22</v>
      </c>
      <c r="FI3" s="11">
        <v>135.21</v>
      </c>
      <c r="FJ3" s="11">
        <v>56.28</v>
      </c>
      <c r="FK3" s="11">
        <v>39.76</v>
      </c>
      <c r="FL3" s="11">
        <v>8.2100000000000009</v>
      </c>
      <c r="FM3" s="11">
        <v>41.52</v>
      </c>
      <c r="FN3" s="11">
        <v>22.04</v>
      </c>
      <c r="FO3" s="16">
        <v>102.2</v>
      </c>
      <c r="FP3" s="11">
        <v>46.69</v>
      </c>
      <c r="FQ3" s="11">
        <v>149.94</v>
      </c>
      <c r="FR3" s="11">
        <v>204.31</v>
      </c>
      <c r="FS3" s="11">
        <v>85.48</v>
      </c>
      <c r="FT3" s="11">
        <v>59.58</v>
      </c>
      <c r="FU3" s="11">
        <v>179.8</v>
      </c>
      <c r="FV3" s="11">
        <v>191.24</v>
      </c>
      <c r="FW3" s="11">
        <v>162.96</v>
      </c>
      <c r="FX3" s="11">
        <v>28.88</v>
      </c>
      <c r="FY3" s="11">
        <v>232</v>
      </c>
      <c r="FZ3" s="11">
        <v>92.26</v>
      </c>
      <c r="GA3" s="11">
        <v>194.58</v>
      </c>
      <c r="GB3" s="11">
        <v>57.97</v>
      </c>
      <c r="GC3" s="11">
        <v>87.75</v>
      </c>
      <c r="GD3" s="16">
        <v>24.33</v>
      </c>
      <c r="GE3" s="11">
        <v>163.61000000000001</v>
      </c>
      <c r="GF3" s="11">
        <v>165.49</v>
      </c>
      <c r="GG3" s="11">
        <v>262.86</v>
      </c>
      <c r="GH3" s="11">
        <v>206.66</v>
      </c>
      <c r="GI3" s="11">
        <v>232.81</v>
      </c>
      <c r="GJ3" s="16">
        <v>161.41</v>
      </c>
      <c r="GK3" s="11">
        <v>23.27</v>
      </c>
      <c r="GL3" s="11">
        <v>256.01</v>
      </c>
      <c r="GM3" s="11">
        <v>2252.17</v>
      </c>
      <c r="GN3" s="11">
        <v>137.94999999999999</v>
      </c>
      <c r="GO3" s="11">
        <v>320.01</v>
      </c>
      <c r="GP3" s="11">
        <v>153.88</v>
      </c>
      <c r="GQ3" s="11">
        <v>99.06</v>
      </c>
      <c r="GR3" s="11">
        <v>13.66</v>
      </c>
      <c r="GS3" s="11">
        <v>157.83000000000001</v>
      </c>
      <c r="HB3" s="11">
        <v>207.43</v>
      </c>
      <c r="HC3" s="11">
        <v>273.2</v>
      </c>
      <c r="HD3" s="11">
        <v>233.23</v>
      </c>
      <c r="HE3" s="11">
        <v>506.6</v>
      </c>
      <c r="HF3" s="11">
        <v>147.91999999999999</v>
      </c>
      <c r="HG3" s="11">
        <v>41.4</v>
      </c>
      <c r="HH3" s="11">
        <v>116.4</v>
      </c>
      <c r="HI3" s="11">
        <v>228.09</v>
      </c>
      <c r="HK3" s="11">
        <v>717.8</v>
      </c>
      <c r="HL3" s="11">
        <v>538.51</v>
      </c>
      <c r="HM3" s="11">
        <v>159.96</v>
      </c>
      <c r="HN3" s="11">
        <v>141.03</v>
      </c>
      <c r="HO3" s="11">
        <v>291.52999999999997</v>
      </c>
      <c r="HP3" s="11">
        <v>163.66</v>
      </c>
      <c r="HQ3" s="11">
        <v>126.08</v>
      </c>
      <c r="HR3" s="11">
        <v>217.53</v>
      </c>
      <c r="HS3" s="11">
        <v>83.76</v>
      </c>
      <c r="HT3" s="11">
        <v>354.16</v>
      </c>
      <c r="HU3" s="11">
        <v>356.07</v>
      </c>
      <c r="HV3" s="11">
        <v>208.84</v>
      </c>
      <c r="HW3" s="11">
        <v>196.5</v>
      </c>
      <c r="HX3" s="11">
        <v>1442.92</v>
      </c>
      <c r="HY3" s="11">
        <v>1732.9</v>
      </c>
    </row>
    <row r="4" spans="1:233" x14ac:dyDescent="0.5">
      <c r="A4" s="13" t="s">
        <v>2</v>
      </c>
      <c r="B4" s="3">
        <v>76.3</v>
      </c>
      <c r="C4" s="16">
        <v>35.090000000000003</v>
      </c>
      <c r="D4" s="16">
        <v>22.16</v>
      </c>
      <c r="E4" s="16">
        <v>35.479999999999997</v>
      </c>
      <c r="F4" s="16">
        <v>76.3</v>
      </c>
      <c r="G4" s="16">
        <v>33.43</v>
      </c>
      <c r="H4" s="16">
        <v>27.52</v>
      </c>
      <c r="I4" s="16">
        <v>32.229999999999997</v>
      </c>
      <c r="J4" s="16">
        <v>27.52</v>
      </c>
      <c r="K4" s="27">
        <v>34.799999999999997</v>
      </c>
      <c r="L4" s="16">
        <v>50.28</v>
      </c>
      <c r="M4" s="16">
        <v>46.65</v>
      </c>
      <c r="N4" s="16">
        <v>27.66</v>
      </c>
      <c r="O4" s="11">
        <v>66.83</v>
      </c>
      <c r="P4" s="11">
        <v>49.99</v>
      </c>
      <c r="Q4" s="11">
        <v>15.13</v>
      </c>
      <c r="R4" s="11">
        <v>13.97</v>
      </c>
      <c r="S4" s="11">
        <v>21.77</v>
      </c>
      <c r="T4" s="11">
        <v>40.79</v>
      </c>
      <c r="U4" s="11">
        <v>44.72</v>
      </c>
      <c r="V4" s="11">
        <v>28.54</v>
      </c>
      <c r="W4" s="11">
        <v>28.54</v>
      </c>
      <c r="X4" s="11">
        <v>13.83</v>
      </c>
      <c r="Y4" s="11">
        <v>38.49</v>
      </c>
      <c r="Z4" s="11">
        <v>44.72</v>
      </c>
      <c r="AA4" s="11">
        <v>36.090000000000003</v>
      </c>
      <c r="AB4" s="16">
        <v>35.049999999999997</v>
      </c>
      <c r="AC4" s="11">
        <v>21.77</v>
      </c>
      <c r="AD4" s="11">
        <v>41.18</v>
      </c>
      <c r="AE4" s="11">
        <v>13.91</v>
      </c>
      <c r="AF4" s="16">
        <v>21.55</v>
      </c>
      <c r="AG4" s="11">
        <v>48.88</v>
      </c>
      <c r="AH4" s="16">
        <v>30.04</v>
      </c>
      <c r="AI4" s="11">
        <v>23.38</v>
      </c>
      <c r="AJ4" s="11">
        <v>24.25</v>
      </c>
      <c r="AK4" s="11">
        <v>74.47</v>
      </c>
      <c r="AL4" s="11">
        <v>13.98</v>
      </c>
      <c r="AM4" s="11">
        <v>25.26</v>
      </c>
      <c r="AN4" s="11">
        <v>43.04</v>
      </c>
      <c r="AO4" s="11">
        <v>27.58</v>
      </c>
      <c r="AP4" s="11">
        <v>22.48</v>
      </c>
      <c r="AQ4" s="11">
        <v>32.97</v>
      </c>
      <c r="AR4" s="11">
        <v>13.91</v>
      </c>
      <c r="AS4" s="11">
        <v>24.47</v>
      </c>
      <c r="AT4" s="11">
        <v>64.94</v>
      </c>
      <c r="AU4" s="11">
        <v>74.349999999999994</v>
      </c>
      <c r="AV4" s="11">
        <v>21.57</v>
      </c>
      <c r="AW4" s="11">
        <v>21.11</v>
      </c>
      <c r="AX4" s="11">
        <v>28.53</v>
      </c>
      <c r="AY4" s="11">
        <v>21.16</v>
      </c>
      <c r="AZ4" s="11">
        <v>20.99</v>
      </c>
      <c r="BA4" s="11">
        <v>14.85</v>
      </c>
      <c r="BB4" s="11">
        <v>42.85</v>
      </c>
      <c r="BC4" s="11">
        <v>48.35</v>
      </c>
      <c r="BD4" s="11">
        <v>35.19</v>
      </c>
      <c r="BE4" s="35">
        <v>35.19</v>
      </c>
      <c r="BF4" s="11">
        <v>48.47</v>
      </c>
      <c r="BG4" s="11">
        <v>74.63</v>
      </c>
      <c r="BH4" s="11">
        <v>48.49</v>
      </c>
      <c r="BI4" s="11">
        <v>35.35</v>
      </c>
      <c r="BJ4" s="11">
        <v>48.49</v>
      </c>
      <c r="BK4" s="16">
        <v>35.4</v>
      </c>
      <c r="BL4" s="16">
        <v>42.98</v>
      </c>
      <c r="BM4" s="11">
        <v>44.23</v>
      </c>
      <c r="BN4" s="11">
        <v>45.28</v>
      </c>
      <c r="BO4" s="11">
        <v>14</v>
      </c>
      <c r="BP4" s="11">
        <v>50.96</v>
      </c>
      <c r="BQ4" s="11">
        <v>21.63</v>
      </c>
      <c r="BR4" s="11">
        <v>29.21</v>
      </c>
      <c r="BS4" s="11">
        <v>50.85</v>
      </c>
      <c r="BT4" s="11">
        <v>13.94</v>
      </c>
      <c r="BU4" s="11">
        <v>21.63</v>
      </c>
      <c r="BV4" s="11">
        <v>38.630000000000003</v>
      </c>
      <c r="BW4" s="11">
        <v>57.41</v>
      </c>
      <c r="BX4" s="11">
        <v>43.58</v>
      </c>
      <c r="BY4" s="11">
        <v>56.84</v>
      </c>
      <c r="BZ4" s="11">
        <v>25.23</v>
      </c>
      <c r="CA4" s="11">
        <v>30.52</v>
      </c>
      <c r="CB4" s="11">
        <v>13.94</v>
      </c>
      <c r="CC4" s="11">
        <v>28.32</v>
      </c>
      <c r="CD4" s="11">
        <v>43.58</v>
      </c>
      <c r="CE4" s="11">
        <v>28.32</v>
      </c>
      <c r="CF4" s="11">
        <v>14.86</v>
      </c>
      <c r="CG4" s="11">
        <v>19.260000000000002</v>
      </c>
      <c r="CH4" s="11">
        <v>21.72</v>
      </c>
      <c r="CI4" s="11">
        <v>21.63</v>
      </c>
      <c r="CJ4" s="11">
        <v>13.94</v>
      </c>
      <c r="CK4" s="11">
        <v>43.87</v>
      </c>
      <c r="CL4" s="11">
        <v>46.7</v>
      </c>
      <c r="CM4" s="11">
        <v>12.69</v>
      </c>
      <c r="CN4" s="11">
        <v>46.7</v>
      </c>
      <c r="CO4" s="11">
        <v>14.86</v>
      </c>
      <c r="CP4" s="11">
        <v>34.72</v>
      </c>
      <c r="CQ4" s="11">
        <v>24.26</v>
      </c>
      <c r="CR4" s="11">
        <v>23</v>
      </c>
      <c r="CS4" s="11">
        <v>37.31</v>
      </c>
      <c r="CT4" s="11">
        <v>27.83</v>
      </c>
      <c r="CU4" s="11">
        <v>24.37</v>
      </c>
      <c r="CV4" s="11">
        <v>13.94</v>
      </c>
      <c r="CW4" s="11">
        <v>30.51</v>
      </c>
      <c r="CX4" s="11">
        <v>50.96</v>
      </c>
      <c r="CY4" s="11">
        <v>45.28</v>
      </c>
      <c r="CZ4" s="11">
        <v>21.63</v>
      </c>
      <c r="DA4" s="11">
        <v>37.31</v>
      </c>
      <c r="DB4" s="11">
        <v>75.55</v>
      </c>
      <c r="DC4" s="11">
        <v>46.7</v>
      </c>
      <c r="DD4" s="11">
        <v>44.72</v>
      </c>
      <c r="DE4" s="11">
        <v>21.72</v>
      </c>
      <c r="DF4" s="11">
        <v>29.21</v>
      </c>
      <c r="DG4" s="11">
        <v>30.52</v>
      </c>
      <c r="DH4" s="11">
        <v>21.63</v>
      </c>
      <c r="DI4" s="11">
        <v>75.55</v>
      </c>
      <c r="DJ4" s="11">
        <v>15.54</v>
      </c>
      <c r="DK4" s="11">
        <v>28.61</v>
      </c>
      <c r="DL4" s="11">
        <v>13.94</v>
      </c>
      <c r="DM4" s="11">
        <v>43.58</v>
      </c>
      <c r="DN4" s="11">
        <v>45.28</v>
      </c>
      <c r="DO4" s="11">
        <v>14</v>
      </c>
      <c r="DP4" s="11">
        <v>20.36</v>
      </c>
      <c r="DQ4" s="11">
        <v>23.4</v>
      </c>
      <c r="DR4" s="11">
        <v>5.2</v>
      </c>
      <c r="DS4" s="11">
        <v>11.5</v>
      </c>
      <c r="DT4" s="11">
        <v>27.34</v>
      </c>
      <c r="DU4" s="11">
        <v>24.69</v>
      </c>
      <c r="DV4" s="11">
        <v>23.75</v>
      </c>
      <c r="DW4" s="11">
        <v>32.58</v>
      </c>
      <c r="DX4" s="11">
        <v>21.63</v>
      </c>
      <c r="DY4" s="11">
        <v>13.94</v>
      </c>
      <c r="DZ4" s="11">
        <v>35.54</v>
      </c>
      <c r="EA4" s="11">
        <v>21.13</v>
      </c>
      <c r="EB4" s="11">
        <v>45.28</v>
      </c>
      <c r="EC4" s="11">
        <v>15.54</v>
      </c>
      <c r="ED4" s="11">
        <v>13.94</v>
      </c>
      <c r="EE4" s="11">
        <v>11.5</v>
      </c>
      <c r="EF4" s="11">
        <v>49.73</v>
      </c>
      <c r="EG4" s="11">
        <v>310.73</v>
      </c>
      <c r="EH4" s="11">
        <v>28.87</v>
      </c>
      <c r="EI4" s="11">
        <v>19.62</v>
      </c>
      <c r="EJ4" s="11">
        <v>28.32</v>
      </c>
      <c r="EK4" s="11">
        <v>28.32</v>
      </c>
      <c r="EL4" s="11">
        <v>14.17</v>
      </c>
      <c r="EM4" s="11">
        <v>37.31</v>
      </c>
      <c r="EN4" s="11">
        <v>38.86</v>
      </c>
      <c r="EO4" s="11">
        <v>28.32</v>
      </c>
      <c r="EZ4" s="11">
        <v>49.73</v>
      </c>
      <c r="FA4" s="16">
        <v>18.25</v>
      </c>
      <c r="FB4" s="11">
        <v>28.87</v>
      </c>
      <c r="FC4" s="11">
        <v>21.57</v>
      </c>
      <c r="FD4" s="11">
        <v>129.75</v>
      </c>
      <c r="FE4" s="11">
        <v>23</v>
      </c>
      <c r="FF4" s="11">
        <v>28.61</v>
      </c>
      <c r="FG4" s="11">
        <v>46.7</v>
      </c>
      <c r="FH4" s="11">
        <v>49.73</v>
      </c>
      <c r="FJ4" s="11">
        <v>49.73</v>
      </c>
      <c r="FK4" s="11">
        <v>46.7</v>
      </c>
      <c r="FL4" s="11">
        <v>27.34</v>
      </c>
      <c r="FM4" s="11">
        <v>25.23</v>
      </c>
      <c r="FN4" s="11">
        <v>43.58</v>
      </c>
      <c r="FO4" s="16">
        <v>19.29</v>
      </c>
      <c r="FP4" s="11">
        <v>21.63</v>
      </c>
      <c r="FQ4" s="11">
        <v>30.52</v>
      </c>
      <c r="FR4" s="11">
        <v>30.52</v>
      </c>
      <c r="FS4" s="11">
        <v>43.87</v>
      </c>
      <c r="FT4" s="11">
        <v>17.100000000000001</v>
      </c>
      <c r="FU4" s="11">
        <v>27.93</v>
      </c>
      <c r="FV4" s="11">
        <v>43.58</v>
      </c>
      <c r="FW4" s="11">
        <v>46.7</v>
      </c>
      <c r="FX4" s="11">
        <v>30.52</v>
      </c>
      <c r="FY4" s="11">
        <v>280.39999999999998</v>
      </c>
      <c r="GA4" s="11">
        <v>27.34</v>
      </c>
      <c r="GB4" s="11">
        <v>14.17</v>
      </c>
      <c r="GC4" s="11">
        <v>24.37</v>
      </c>
      <c r="GD4" s="16">
        <v>21.57</v>
      </c>
      <c r="GE4" s="11">
        <v>49.73</v>
      </c>
      <c r="GF4" s="11">
        <v>49.73</v>
      </c>
      <c r="GG4" s="11">
        <v>43.58</v>
      </c>
      <c r="GH4" s="11">
        <v>75.55</v>
      </c>
      <c r="GI4" s="11">
        <v>44.72</v>
      </c>
      <c r="GJ4" s="16">
        <v>21.57</v>
      </c>
      <c r="GK4" s="11">
        <v>14.86</v>
      </c>
      <c r="GL4" s="11">
        <v>23</v>
      </c>
      <c r="GM4" s="11">
        <v>43.58</v>
      </c>
      <c r="GN4" s="11">
        <v>58.65</v>
      </c>
      <c r="GO4" s="11">
        <v>44.72</v>
      </c>
      <c r="GP4" s="11">
        <v>28.32</v>
      </c>
      <c r="GQ4" s="11">
        <v>21.68</v>
      </c>
      <c r="GR4" s="11">
        <v>98.33</v>
      </c>
      <c r="GS4" s="11">
        <v>43.71</v>
      </c>
      <c r="HB4" s="11">
        <v>32.78</v>
      </c>
      <c r="HC4" s="11">
        <v>25.07</v>
      </c>
      <c r="HE4" s="11">
        <v>66.12</v>
      </c>
      <c r="HF4" s="11">
        <v>50.65</v>
      </c>
      <c r="HH4" s="11">
        <v>45.06</v>
      </c>
      <c r="HI4" s="11">
        <v>50.55</v>
      </c>
      <c r="HK4" s="11">
        <v>51.97</v>
      </c>
      <c r="HL4" s="11">
        <v>36.79</v>
      </c>
      <c r="HM4" s="11">
        <v>51.97</v>
      </c>
      <c r="HN4" s="11">
        <v>51.97</v>
      </c>
      <c r="HO4" s="11">
        <v>48.52</v>
      </c>
      <c r="HP4" s="11">
        <v>46.19</v>
      </c>
      <c r="HQ4" s="11">
        <v>48.52</v>
      </c>
      <c r="HR4" s="11">
        <v>51.97</v>
      </c>
      <c r="HS4" s="11">
        <v>52.66</v>
      </c>
      <c r="HT4" s="11">
        <v>48.67</v>
      </c>
      <c r="HU4" s="11">
        <v>49.58</v>
      </c>
      <c r="HV4" s="11">
        <v>46.91</v>
      </c>
      <c r="HW4" s="11">
        <v>46.91</v>
      </c>
      <c r="HX4" s="11">
        <v>50.55</v>
      </c>
      <c r="HY4" s="11">
        <v>50.55</v>
      </c>
    </row>
    <row r="5" spans="1:233" x14ac:dyDescent="0.5">
      <c r="A5" s="14" t="s">
        <v>4</v>
      </c>
      <c r="B5" s="3">
        <v>-0.25</v>
      </c>
      <c r="C5" s="16">
        <v>8.2899999999999991</v>
      </c>
      <c r="D5" s="16">
        <v>1.18</v>
      </c>
      <c r="E5" s="16">
        <v>-1.05</v>
      </c>
      <c r="F5" s="16">
        <v>-1.41</v>
      </c>
      <c r="G5" s="16">
        <v>-0.14000000000000001</v>
      </c>
      <c r="H5" s="16">
        <v>-1.69</v>
      </c>
      <c r="I5" s="16">
        <v>7.01</v>
      </c>
      <c r="J5" s="16">
        <v>10.5</v>
      </c>
      <c r="K5" s="27">
        <v>8.2100000000000009</v>
      </c>
      <c r="L5" s="16">
        <v>6.75</v>
      </c>
      <c r="M5" s="16">
        <v>6.75</v>
      </c>
      <c r="N5" s="16">
        <v>26.32</v>
      </c>
      <c r="O5" s="11">
        <v>1.65</v>
      </c>
      <c r="P5" s="11">
        <v>10.35</v>
      </c>
      <c r="Q5" s="11">
        <v>21.97</v>
      </c>
      <c r="R5" s="11">
        <v>20.09</v>
      </c>
      <c r="S5" s="11">
        <v>23.61</v>
      </c>
      <c r="T5" s="11">
        <v>2.61</v>
      </c>
      <c r="U5" s="11">
        <v>6.82</v>
      </c>
      <c r="V5" s="11">
        <v>12.8</v>
      </c>
      <c r="W5" s="11">
        <v>12.8</v>
      </c>
      <c r="X5" s="11">
        <v>6.94</v>
      </c>
      <c r="Y5" s="11">
        <v>25.32</v>
      </c>
      <c r="Z5" s="11">
        <v>0.72</v>
      </c>
      <c r="AA5" s="11">
        <v>28.29</v>
      </c>
      <c r="AB5" s="16">
        <v>57.78</v>
      </c>
      <c r="AC5" s="11">
        <v>10.86</v>
      </c>
      <c r="AD5" s="11">
        <v>20.09</v>
      </c>
      <c r="AE5" s="11">
        <v>3.82</v>
      </c>
      <c r="AF5" s="16">
        <v>10.64</v>
      </c>
      <c r="AG5" s="11">
        <v>3.96</v>
      </c>
      <c r="AH5" s="16">
        <v>7.18</v>
      </c>
      <c r="AI5" s="11">
        <v>15.01</v>
      </c>
      <c r="AJ5" s="11">
        <v>7</v>
      </c>
      <c r="AK5" s="11">
        <v>6.22</v>
      </c>
      <c r="AL5" s="11">
        <v>7.18</v>
      </c>
      <c r="AM5" s="11">
        <v>2.99</v>
      </c>
      <c r="AN5" s="11">
        <v>6.94</v>
      </c>
      <c r="AO5" s="11">
        <v>11.36</v>
      </c>
      <c r="AP5" s="11">
        <v>16.3</v>
      </c>
      <c r="AQ5" s="11">
        <v>4.04</v>
      </c>
      <c r="AR5" s="11">
        <v>6.23</v>
      </c>
      <c r="AS5" s="11">
        <v>18.55</v>
      </c>
      <c r="AT5" s="11">
        <v>17.850000000000001</v>
      </c>
      <c r="AU5" s="11">
        <v>6.2</v>
      </c>
      <c r="AV5" s="11">
        <v>6.2</v>
      </c>
      <c r="AW5" s="11">
        <v>9.86</v>
      </c>
      <c r="AX5" s="11">
        <v>15.46</v>
      </c>
      <c r="AY5" s="11">
        <v>48.65</v>
      </c>
      <c r="AZ5" s="11">
        <v>7.56</v>
      </c>
      <c r="BA5" s="11">
        <v>10.74</v>
      </c>
      <c r="BB5" s="11">
        <v>11.35</v>
      </c>
      <c r="BC5" s="11">
        <v>12.06</v>
      </c>
      <c r="BD5" s="11">
        <v>9.35</v>
      </c>
      <c r="BE5" s="35">
        <v>4.82</v>
      </c>
      <c r="BF5" s="11">
        <v>5.58</v>
      </c>
      <c r="BG5" s="11">
        <v>-9.3000000000000007</v>
      </c>
      <c r="BH5" s="11">
        <v>1.71</v>
      </c>
      <c r="BI5" s="11">
        <v>35.799999999999997</v>
      </c>
      <c r="BJ5" s="11">
        <v>0.34</v>
      </c>
      <c r="BK5" s="16">
        <v>3.37</v>
      </c>
      <c r="BL5" s="16">
        <v>5.38</v>
      </c>
      <c r="BM5" s="11">
        <v>3.8</v>
      </c>
      <c r="BN5" s="11">
        <v>5.15</v>
      </c>
      <c r="BO5" s="11">
        <v>6.58</v>
      </c>
      <c r="BP5" s="11">
        <v>22.73</v>
      </c>
      <c r="BQ5" s="11">
        <v>8.9600000000000009</v>
      </c>
      <c r="BR5" s="11">
        <v>12.16</v>
      </c>
      <c r="BS5" s="11">
        <v>9.32</v>
      </c>
      <c r="BT5" s="11">
        <v>10.029999999999999</v>
      </c>
      <c r="BU5" s="11">
        <v>3.54</v>
      </c>
      <c r="BV5" s="11">
        <v>5.88</v>
      </c>
      <c r="BW5" s="11">
        <v>8.6300000000000008</v>
      </c>
      <c r="BX5" s="11">
        <v>1.44</v>
      </c>
      <c r="BY5" s="11">
        <v>16.43</v>
      </c>
      <c r="BZ5" s="11">
        <v>8.11</v>
      </c>
      <c r="CA5" s="11">
        <v>9.76</v>
      </c>
      <c r="CB5" s="11">
        <v>8.06</v>
      </c>
      <c r="CC5" s="11">
        <v>5.31</v>
      </c>
      <c r="CD5" s="11">
        <v>17.32</v>
      </c>
      <c r="CE5" s="11">
        <v>47.84</v>
      </c>
      <c r="CF5" s="11">
        <v>2.06</v>
      </c>
      <c r="CG5" s="11">
        <v>3.68</v>
      </c>
      <c r="CH5" s="11">
        <v>4.79</v>
      </c>
      <c r="CI5" s="11">
        <v>21.17</v>
      </c>
      <c r="CJ5" s="11">
        <v>1.23</v>
      </c>
      <c r="CK5" s="11">
        <v>3.31</v>
      </c>
      <c r="CL5" s="11">
        <v>11.33</v>
      </c>
      <c r="CM5" s="11">
        <v>1.22</v>
      </c>
      <c r="CN5" s="11">
        <v>2.88</v>
      </c>
      <c r="CO5" s="11">
        <v>4.7</v>
      </c>
      <c r="CP5" s="11">
        <v>1.2</v>
      </c>
      <c r="CQ5" s="11">
        <v>4.5999999999999996</v>
      </c>
      <c r="CR5" s="11">
        <v>227.48</v>
      </c>
      <c r="CS5" s="11">
        <v>6.99</v>
      </c>
      <c r="CT5" s="11">
        <v>13.84</v>
      </c>
      <c r="CU5" s="11">
        <v>3.49</v>
      </c>
      <c r="CV5" s="11">
        <v>0.99</v>
      </c>
      <c r="CW5" s="11">
        <v>17.8</v>
      </c>
      <c r="CX5" s="11">
        <v>7.72</v>
      </c>
      <c r="CY5" s="11">
        <v>3.03</v>
      </c>
      <c r="CZ5" s="11">
        <v>8.17</v>
      </c>
      <c r="DA5" s="11">
        <v>12.1</v>
      </c>
      <c r="DB5" s="11">
        <v>22.27</v>
      </c>
      <c r="DC5" s="11">
        <v>9.5500000000000007</v>
      </c>
      <c r="DD5" s="11">
        <v>3.68</v>
      </c>
      <c r="DE5" s="11">
        <v>2.0099999999999998</v>
      </c>
      <c r="DF5" s="11">
        <v>2.46</v>
      </c>
      <c r="DG5" s="11">
        <v>40.880000000000003</v>
      </c>
      <c r="DH5" s="11">
        <v>3.14</v>
      </c>
      <c r="DI5" s="11">
        <v>6.32</v>
      </c>
      <c r="DJ5" s="11">
        <v>4.28</v>
      </c>
      <c r="DK5" s="11">
        <v>19.8</v>
      </c>
      <c r="DL5" s="11">
        <v>5.85</v>
      </c>
      <c r="DM5" s="11">
        <v>20.79</v>
      </c>
      <c r="DN5" s="11">
        <v>13.55</v>
      </c>
      <c r="DO5" s="11">
        <v>6.89</v>
      </c>
      <c r="DP5" s="11">
        <v>11.73</v>
      </c>
      <c r="DQ5" s="11">
        <v>12.32</v>
      </c>
      <c r="DS5" s="11">
        <v>17.84</v>
      </c>
      <c r="DT5" s="11">
        <v>8.36</v>
      </c>
      <c r="DU5" s="11">
        <v>18.420000000000002</v>
      </c>
      <c r="DV5" s="11">
        <v>10.62</v>
      </c>
      <c r="DW5" s="11">
        <v>3.75</v>
      </c>
      <c r="DX5" s="11">
        <v>4.51</v>
      </c>
      <c r="DY5" s="11">
        <v>2.66</v>
      </c>
      <c r="EA5" s="11">
        <v>4.58</v>
      </c>
      <c r="EB5" s="11">
        <v>5.62</v>
      </c>
      <c r="EC5" s="11">
        <v>6.19</v>
      </c>
      <c r="ED5" s="11">
        <v>1.99</v>
      </c>
      <c r="EE5" s="11">
        <v>23.62</v>
      </c>
      <c r="EF5" s="11">
        <v>7.77</v>
      </c>
      <c r="EG5" s="11">
        <v>9.34</v>
      </c>
      <c r="EH5" s="11">
        <v>5.16</v>
      </c>
      <c r="EI5" s="11">
        <v>27.65</v>
      </c>
      <c r="EJ5" s="11">
        <v>1.59</v>
      </c>
      <c r="EK5" s="11">
        <v>5.15</v>
      </c>
      <c r="EL5" s="11">
        <v>6.39</v>
      </c>
      <c r="EM5" s="11">
        <v>30.07</v>
      </c>
      <c r="EN5" s="11">
        <v>38.590000000000003</v>
      </c>
      <c r="EO5" s="11">
        <v>2.17</v>
      </c>
      <c r="EQ5" s="11">
        <v>18.38</v>
      </c>
      <c r="EZ5" s="11">
        <v>2.8</v>
      </c>
      <c r="FA5" s="16">
        <v>2.62</v>
      </c>
      <c r="FB5" s="11">
        <v>1.52</v>
      </c>
      <c r="FC5" s="11">
        <v>2.23</v>
      </c>
      <c r="FD5" s="11">
        <v>0.22</v>
      </c>
      <c r="FE5" s="11">
        <v>2.16</v>
      </c>
      <c r="FF5" s="11">
        <v>0.37</v>
      </c>
      <c r="FG5" s="11">
        <v>9.5299999999999994</v>
      </c>
      <c r="FH5" s="11">
        <v>0.57999999999999996</v>
      </c>
      <c r="FI5" s="11">
        <v>0.54</v>
      </c>
      <c r="FJ5" s="11">
        <v>1.43</v>
      </c>
      <c r="FK5" s="11">
        <v>2.11</v>
      </c>
      <c r="FL5" s="11">
        <v>0.31</v>
      </c>
      <c r="FM5" s="11">
        <v>1.25</v>
      </c>
      <c r="FN5" s="11">
        <v>1.1499999999999999</v>
      </c>
      <c r="FO5" s="16">
        <v>9.48</v>
      </c>
      <c r="FP5" s="11">
        <v>6.55</v>
      </c>
      <c r="FQ5" s="11">
        <v>3.71</v>
      </c>
      <c r="FR5" s="11">
        <v>5.08</v>
      </c>
      <c r="FS5" s="11">
        <v>2.52</v>
      </c>
      <c r="FT5" s="11">
        <v>2.14</v>
      </c>
      <c r="FU5" s="11">
        <v>4.13</v>
      </c>
      <c r="FV5" s="11">
        <v>2.0099999999999998</v>
      </c>
      <c r="FW5" s="11">
        <v>7.65</v>
      </c>
      <c r="FX5" s="11">
        <v>0.18</v>
      </c>
      <c r="FY5" s="11">
        <v>3.04</v>
      </c>
      <c r="FZ5" s="11">
        <v>1.04</v>
      </c>
      <c r="GA5" s="11">
        <v>2.33</v>
      </c>
      <c r="GB5" s="11">
        <v>2.8</v>
      </c>
      <c r="GC5" s="11">
        <v>2.15</v>
      </c>
      <c r="GD5" s="16">
        <v>1.64</v>
      </c>
      <c r="GE5" s="11">
        <v>2.08</v>
      </c>
      <c r="GF5" s="11">
        <v>1.78</v>
      </c>
      <c r="GG5" s="11">
        <v>1.19</v>
      </c>
      <c r="GH5" s="11">
        <v>3.68</v>
      </c>
      <c r="GI5" s="11">
        <v>0.91</v>
      </c>
      <c r="GJ5" s="16">
        <v>7.98</v>
      </c>
      <c r="GK5" s="11">
        <v>1.51</v>
      </c>
      <c r="GL5" s="11">
        <v>15.63</v>
      </c>
      <c r="GM5" s="11">
        <v>8.9</v>
      </c>
      <c r="GN5" s="11">
        <v>6.19</v>
      </c>
      <c r="GO5" s="11">
        <v>3.68</v>
      </c>
      <c r="GP5" s="11">
        <v>5.07</v>
      </c>
      <c r="GQ5" s="11">
        <v>2.59</v>
      </c>
      <c r="GR5" s="11">
        <v>0.49</v>
      </c>
      <c r="GS5" s="11">
        <v>4.87</v>
      </c>
      <c r="HB5" s="11">
        <v>2.4900000000000002</v>
      </c>
      <c r="HC5" s="49">
        <v>11.57</v>
      </c>
      <c r="HD5" s="11">
        <v>6.14</v>
      </c>
      <c r="HE5" s="11">
        <v>17.82</v>
      </c>
      <c r="HF5" s="11">
        <v>3.13</v>
      </c>
      <c r="HG5" s="11">
        <v>0.25</v>
      </c>
      <c r="HH5" s="11">
        <v>3.41</v>
      </c>
      <c r="HI5" s="11">
        <v>5.31</v>
      </c>
      <c r="HK5" s="11">
        <v>13.62</v>
      </c>
      <c r="HL5" s="11">
        <v>6.23</v>
      </c>
      <c r="HM5" s="11">
        <v>3.17</v>
      </c>
      <c r="HN5" s="11">
        <v>4.7699999999999996</v>
      </c>
      <c r="HO5" s="11">
        <v>9.9700000000000006</v>
      </c>
      <c r="HP5" s="11">
        <v>3.83</v>
      </c>
      <c r="HQ5" s="11">
        <v>3.56</v>
      </c>
      <c r="HR5" s="11">
        <v>11.2</v>
      </c>
      <c r="HS5" s="11">
        <v>2.75</v>
      </c>
      <c r="HT5" s="11">
        <v>8.91</v>
      </c>
      <c r="HU5" s="11">
        <v>7.18</v>
      </c>
      <c r="HV5" s="11">
        <v>1.76</v>
      </c>
      <c r="HW5" s="11">
        <v>8.34</v>
      </c>
      <c r="HX5" s="11">
        <v>36.58</v>
      </c>
      <c r="HY5" s="11">
        <v>37.020000000000003</v>
      </c>
    </row>
    <row r="6" spans="1:233" x14ac:dyDescent="0.5">
      <c r="A6" s="14" t="s">
        <v>3</v>
      </c>
      <c r="B6" s="4">
        <v>31.67</v>
      </c>
      <c r="C6" s="16">
        <v>20.2</v>
      </c>
      <c r="D6" s="16">
        <v>56.51</v>
      </c>
      <c r="E6" s="26"/>
      <c r="F6" s="26"/>
      <c r="G6" s="26"/>
      <c r="H6" s="16"/>
      <c r="I6" s="16">
        <v>35.54</v>
      </c>
      <c r="J6" s="16">
        <v>26.42</v>
      </c>
      <c r="K6" s="27">
        <v>32.89</v>
      </c>
      <c r="L6" s="16">
        <v>52.15</v>
      </c>
      <c r="M6" s="16">
        <v>52.15</v>
      </c>
      <c r="N6" s="16">
        <v>23.84</v>
      </c>
      <c r="O6" s="11">
        <v>269.7</v>
      </c>
      <c r="P6" s="11">
        <v>27.94</v>
      </c>
      <c r="Q6" s="11">
        <v>22.45</v>
      </c>
      <c r="R6" s="11">
        <v>15.6</v>
      </c>
      <c r="S6" s="11">
        <v>39.71</v>
      </c>
      <c r="T6" s="11">
        <v>38.979999999999997</v>
      </c>
      <c r="U6" s="11">
        <v>35.770000000000003</v>
      </c>
      <c r="V6" s="11">
        <v>26.32</v>
      </c>
      <c r="W6" s="11">
        <v>26.32</v>
      </c>
      <c r="X6" s="11">
        <v>16.489999999999998</v>
      </c>
      <c r="Y6" s="11">
        <v>43.33</v>
      </c>
      <c r="Z6" s="11">
        <v>242.02</v>
      </c>
      <c r="AA6" s="11">
        <v>36.380000000000003</v>
      </c>
      <c r="AB6" s="16">
        <v>6.18</v>
      </c>
      <c r="AC6" s="11">
        <v>17.21</v>
      </c>
      <c r="AD6" s="11">
        <v>45.96</v>
      </c>
      <c r="AE6" s="11">
        <v>13.95</v>
      </c>
      <c r="AF6" s="16">
        <v>20.59</v>
      </c>
      <c r="AG6" s="11">
        <v>60.07</v>
      </c>
      <c r="AH6" s="16">
        <v>23.34</v>
      </c>
      <c r="AI6" s="11">
        <v>24.58</v>
      </c>
      <c r="AJ6" s="11">
        <v>20.86</v>
      </c>
      <c r="AK6" s="11">
        <v>49.09</v>
      </c>
      <c r="AL6" s="11">
        <v>21.31</v>
      </c>
      <c r="AM6" s="11">
        <v>23.11</v>
      </c>
      <c r="AN6" s="11">
        <v>36.58</v>
      </c>
      <c r="AO6" s="11">
        <v>27.51</v>
      </c>
      <c r="AP6" s="11">
        <v>19.72</v>
      </c>
      <c r="AQ6" s="11">
        <v>17.57</v>
      </c>
      <c r="AR6" s="11">
        <v>13.81</v>
      </c>
      <c r="AS6" s="11">
        <v>30.72</v>
      </c>
      <c r="AT6" s="11">
        <v>11.37</v>
      </c>
      <c r="AU6" s="11">
        <v>28.22</v>
      </c>
      <c r="AV6" s="11">
        <v>28.22</v>
      </c>
      <c r="AW6" s="11">
        <v>16.57</v>
      </c>
      <c r="AX6" s="11">
        <v>23.65</v>
      </c>
      <c r="AY6" s="11">
        <v>16.190000000000001</v>
      </c>
      <c r="AZ6" s="11">
        <v>19.829999999999998</v>
      </c>
      <c r="BA6" s="11">
        <v>18.72</v>
      </c>
      <c r="BB6" s="11">
        <v>21.08</v>
      </c>
      <c r="BC6" s="11">
        <v>14.37</v>
      </c>
      <c r="BD6" s="11">
        <v>24.97</v>
      </c>
      <c r="BE6" s="35">
        <v>33.65</v>
      </c>
      <c r="BF6" s="11">
        <v>28.94</v>
      </c>
      <c r="BH6" s="11">
        <v>92.78</v>
      </c>
      <c r="BI6" s="11">
        <v>33.700000000000003</v>
      </c>
      <c r="BJ6" s="11">
        <v>109.62</v>
      </c>
      <c r="BK6" s="16">
        <v>20.53</v>
      </c>
      <c r="BL6" s="16">
        <v>17.12</v>
      </c>
      <c r="BM6" s="11">
        <v>55.56</v>
      </c>
      <c r="BN6" s="11">
        <v>24.24</v>
      </c>
      <c r="BO6" s="11">
        <v>11.28</v>
      </c>
      <c r="BP6" s="11">
        <v>24.9</v>
      </c>
      <c r="BQ6" s="11">
        <v>9.57</v>
      </c>
      <c r="BR6" s="11">
        <v>24.54</v>
      </c>
      <c r="BS6" s="11">
        <v>66.69</v>
      </c>
      <c r="BT6" s="11">
        <v>14.5</v>
      </c>
      <c r="BU6" s="11">
        <v>13.15</v>
      </c>
      <c r="BV6" s="11">
        <v>18.79</v>
      </c>
      <c r="BW6" s="11">
        <v>63.47</v>
      </c>
      <c r="BX6" s="11">
        <v>108.03</v>
      </c>
      <c r="BY6" s="11">
        <v>25.29</v>
      </c>
      <c r="BZ6" s="11">
        <v>17.45</v>
      </c>
      <c r="CA6" s="11">
        <v>14.01</v>
      </c>
      <c r="CB6" s="11">
        <v>12.52</v>
      </c>
      <c r="CC6" s="11">
        <v>27</v>
      </c>
      <c r="CD6" s="11">
        <v>49.57</v>
      </c>
      <c r="CE6" s="11">
        <v>22.35</v>
      </c>
      <c r="CF6" s="11">
        <v>12.01</v>
      </c>
      <c r="CG6" s="11">
        <v>22.26</v>
      </c>
      <c r="CH6" s="11">
        <v>19.670000000000002</v>
      </c>
      <c r="CI6" s="11">
        <v>14.91</v>
      </c>
      <c r="CJ6" s="11">
        <v>12.25</v>
      </c>
      <c r="CK6" s="11">
        <v>41.76</v>
      </c>
      <c r="CL6" s="11">
        <v>24.57</v>
      </c>
      <c r="CM6" s="11">
        <v>29.29</v>
      </c>
      <c r="CN6" s="11">
        <v>46.52</v>
      </c>
      <c r="CO6" s="11">
        <v>8.48</v>
      </c>
      <c r="CP6" s="11">
        <v>23.52</v>
      </c>
      <c r="CQ6" s="11">
        <v>31.27</v>
      </c>
      <c r="CR6" s="11">
        <v>21.54</v>
      </c>
      <c r="CS6" s="11">
        <v>78.67</v>
      </c>
      <c r="CT6" s="11">
        <v>17.440000000000001</v>
      </c>
      <c r="CU6" s="11">
        <v>17.47</v>
      </c>
      <c r="CV6" s="11">
        <v>10.4</v>
      </c>
      <c r="CW6" s="11">
        <v>27.53</v>
      </c>
      <c r="CX6" s="11">
        <v>27.3</v>
      </c>
      <c r="CY6" s="11">
        <v>32.64</v>
      </c>
      <c r="CZ6" s="11">
        <v>15.11</v>
      </c>
      <c r="DA6" s="11">
        <v>31.18</v>
      </c>
      <c r="DB6" s="11">
        <v>21.05</v>
      </c>
      <c r="DC6" s="11">
        <v>15.63</v>
      </c>
      <c r="DD6" s="11">
        <v>144.61000000000001</v>
      </c>
      <c r="DE6" s="11">
        <v>63.29</v>
      </c>
      <c r="DF6" s="11">
        <v>33.36</v>
      </c>
      <c r="DG6" s="11">
        <v>52.07</v>
      </c>
      <c r="DH6" s="11">
        <v>7.9</v>
      </c>
      <c r="DI6" s="11">
        <v>92.96</v>
      </c>
      <c r="DJ6" s="11">
        <v>13.01</v>
      </c>
      <c r="DK6" s="11">
        <v>10.95</v>
      </c>
      <c r="DL6" s="11">
        <v>13.75</v>
      </c>
      <c r="DM6" s="11">
        <v>15.75</v>
      </c>
      <c r="DN6" s="11">
        <v>26.12</v>
      </c>
      <c r="DO6" s="11">
        <v>8.8699999999999992</v>
      </c>
      <c r="DP6" s="11">
        <v>18.579999999999998</v>
      </c>
      <c r="DQ6" s="11">
        <v>18.77</v>
      </c>
      <c r="DS6" s="11">
        <v>12.18</v>
      </c>
      <c r="DT6" s="11">
        <v>73.94</v>
      </c>
      <c r="DU6" s="11">
        <v>25.39</v>
      </c>
      <c r="DV6" s="11">
        <v>18.27</v>
      </c>
      <c r="DW6" s="11">
        <v>16.87</v>
      </c>
      <c r="DX6" s="11">
        <v>11.02</v>
      </c>
      <c r="DY6" s="11">
        <v>14.42</v>
      </c>
      <c r="EA6" s="11">
        <v>11.92</v>
      </c>
      <c r="EB6" s="11">
        <v>16.399999999999999</v>
      </c>
      <c r="EC6" s="11">
        <v>11.21</v>
      </c>
      <c r="ED6" s="11">
        <v>10.25</v>
      </c>
      <c r="EE6" s="11">
        <v>12.18</v>
      </c>
      <c r="EF6" s="11">
        <v>29.41</v>
      </c>
      <c r="EG6" s="11">
        <v>38.369999999999997</v>
      </c>
      <c r="EH6" s="11">
        <v>26.48</v>
      </c>
      <c r="EI6" s="11">
        <v>17.239999999999998</v>
      </c>
      <c r="EJ6" s="11">
        <v>19.05</v>
      </c>
      <c r="EK6" s="11">
        <v>23.56</v>
      </c>
      <c r="EL6" s="11">
        <v>13.58</v>
      </c>
      <c r="EM6" s="11">
        <v>28.06</v>
      </c>
      <c r="EN6" s="11">
        <v>22.08</v>
      </c>
      <c r="EQ6" s="11">
        <v>22.28</v>
      </c>
      <c r="EZ6" s="11">
        <v>32.479999999999997</v>
      </c>
      <c r="FA6" s="16">
        <v>7.93</v>
      </c>
      <c r="FB6" s="11">
        <v>26.24</v>
      </c>
      <c r="FC6" s="11">
        <v>14.87</v>
      </c>
      <c r="FD6" s="11">
        <v>73.27</v>
      </c>
      <c r="FE6" s="11">
        <v>12.36</v>
      </c>
      <c r="FF6" s="11">
        <v>75.78</v>
      </c>
      <c r="FG6" s="11">
        <v>25.13</v>
      </c>
      <c r="FH6" s="11">
        <v>26.08</v>
      </c>
      <c r="FI6" s="11">
        <v>248.85</v>
      </c>
      <c r="FJ6" s="11">
        <v>39.29</v>
      </c>
      <c r="FK6" s="11">
        <v>18.8</v>
      </c>
      <c r="FL6" s="11">
        <v>26.29</v>
      </c>
      <c r="FM6" s="11">
        <v>33.31</v>
      </c>
      <c r="FN6" s="11">
        <v>19.190000000000001</v>
      </c>
      <c r="FO6" s="16">
        <v>10.77</v>
      </c>
      <c r="FP6" s="11">
        <v>7.13</v>
      </c>
      <c r="FQ6" s="11">
        <v>40.42</v>
      </c>
      <c r="FR6" s="11">
        <v>40.24</v>
      </c>
      <c r="FS6" s="11">
        <v>33.93</v>
      </c>
      <c r="FT6" s="11">
        <v>27.85</v>
      </c>
      <c r="FU6" s="11">
        <v>43.54</v>
      </c>
      <c r="FV6" s="11">
        <v>95.21</v>
      </c>
      <c r="FW6" s="11">
        <v>21.31</v>
      </c>
      <c r="FX6" s="11">
        <v>156.47999999999999</v>
      </c>
      <c r="FY6" s="11">
        <v>76.22</v>
      </c>
      <c r="FZ6" s="11">
        <v>88.5</v>
      </c>
      <c r="GA6" s="11">
        <v>83.55</v>
      </c>
      <c r="GB6" s="11">
        <v>20.67</v>
      </c>
      <c r="GC6" s="11">
        <v>40.909999999999997</v>
      </c>
      <c r="GD6" s="16">
        <v>14.86</v>
      </c>
      <c r="GE6" s="11">
        <v>78.84</v>
      </c>
      <c r="GF6" s="11">
        <v>93.15</v>
      </c>
      <c r="GG6" s="11">
        <v>221.08</v>
      </c>
      <c r="GH6" s="11">
        <v>56.11</v>
      </c>
      <c r="GI6" s="11">
        <v>255.12</v>
      </c>
      <c r="GJ6" s="16">
        <v>20.22</v>
      </c>
      <c r="GK6" s="11">
        <v>15.4</v>
      </c>
      <c r="GL6" s="11">
        <v>16.38</v>
      </c>
      <c r="GM6" s="11">
        <v>25.29</v>
      </c>
      <c r="GN6" s="11">
        <v>22.3</v>
      </c>
      <c r="GO6" s="11">
        <v>87</v>
      </c>
      <c r="GP6" s="11">
        <v>30.37</v>
      </c>
      <c r="GQ6" s="11">
        <v>38.270000000000003</v>
      </c>
      <c r="GR6" s="11">
        <v>28.07</v>
      </c>
      <c r="GS6" s="11">
        <v>32.39</v>
      </c>
      <c r="HB6" s="11">
        <v>83.68</v>
      </c>
      <c r="HC6" s="11">
        <v>23.71</v>
      </c>
      <c r="HD6" s="11">
        <v>40.869999999999997</v>
      </c>
      <c r="HE6" s="11">
        <v>28.2</v>
      </c>
      <c r="HF6" s="11">
        <v>47.32</v>
      </c>
      <c r="HG6" s="11">
        <v>165.45</v>
      </c>
      <c r="HH6" s="11">
        <v>34.130000000000003</v>
      </c>
      <c r="HI6" s="11">
        <v>41.57</v>
      </c>
      <c r="HK6" s="11">
        <v>52.69</v>
      </c>
      <c r="HL6" s="11">
        <v>86.41</v>
      </c>
      <c r="HM6" s="11">
        <v>50.44</v>
      </c>
      <c r="HN6" s="11">
        <v>29.54</v>
      </c>
      <c r="HO6" s="11">
        <v>29.23</v>
      </c>
      <c r="HP6" s="11">
        <v>42.71</v>
      </c>
      <c r="HQ6" s="11">
        <v>35.380000000000003</v>
      </c>
      <c r="HR6" s="11">
        <v>19.34</v>
      </c>
      <c r="HS6" s="11">
        <v>30.17</v>
      </c>
      <c r="HT6" s="11">
        <v>39.43</v>
      </c>
      <c r="HU6" s="11">
        <v>47.01</v>
      </c>
      <c r="HV6" s="11">
        <v>115.32</v>
      </c>
      <c r="HW6" s="11">
        <v>23.8</v>
      </c>
      <c r="HX6" s="11">
        <v>37.89</v>
      </c>
      <c r="HY6" s="11">
        <v>46.28</v>
      </c>
    </row>
    <row r="7" spans="1:233" x14ac:dyDescent="0.5">
      <c r="A7" s="14" t="s">
        <v>5</v>
      </c>
      <c r="B7" s="23"/>
      <c r="C7" s="16">
        <v>38.04</v>
      </c>
      <c r="D7" s="26"/>
      <c r="E7" s="26"/>
      <c r="F7" s="26"/>
      <c r="G7" s="26"/>
      <c r="H7" s="16"/>
      <c r="I7" s="16">
        <v>19.12</v>
      </c>
      <c r="J7" s="16">
        <v>14.83</v>
      </c>
      <c r="K7" s="27">
        <v>10.33</v>
      </c>
      <c r="L7" s="16">
        <v>29.73</v>
      </c>
      <c r="M7" s="16">
        <v>29.73</v>
      </c>
      <c r="N7" s="16">
        <v>15.46</v>
      </c>
      <c r="O7" s="11">
        <v>19</v>
      </c>
      <c r="P7" s="11">
        <v>25.49</v>
      </c>
      <c r="R7" s="11">
        <v>7.59</v>
      </c>
      <c r="S7" s="11">
        <v>31.72</v>
      </c>
      <c r="T7" s="11">
        <v>7.81</v>
      </c>
      <c r="U7" s="11">
        <v>22.54</v>
      </c>
      <c r="V7" s="11">
        <v>12.89</v>
      </c>
      <c r="W7" s="11">
        <v>12.89</v>
      </c>
      <c r="X7" s="11">
        <v>10.87</v>
      </c>
      <c r="Y7" s="11">
        <v>24.42</v>
      </c>
      <c r="Z7" s="11">
        <v>39.79</v>
      </c>
      <c r="AA7" s="11">
        <v>17.329999999999998</v>
      </c>
      <c r="AB7" s="16">
        <v>130.85</v>
      </c>
      <c r="AC7" s="11">
        <v>6.76</v>
      </c>
      <c r="AD7" s="11">
        <v>8.68</v>
      </c>
      <c r="AE7" s="11">
        <v>15</v>
      </c>
      <c r="AF7" s="16">
        <v>15.99</v>
      </c>
      <c r="AG7" s="11">
        <v>40.89</v>
      </c>
      <c r="AH7" s="16">
        <v>9.69</v>
      </c>
      <c r="AI7" s="11">
        <v>5.04</v>
      </c>
      <c r="AJ7" s="11">
        <v>5.32</v>
      </c>
      <c r="AK7" s="11">
        <v>20.74</v>
      </c>
      <c r="AL7" s="11">
        <v>9.84</v>
      </c>
      <c r="AM7" s="11">
        <v>7.11</v>
      </c>
      <c r="AN7" s="11">
        <v>9.76</v>
      </c>
      <c r="AO7" s="11">
        <v>6.81</v>
      </c>
      <c r="AP7" s="11">
        <v>-0.36</v>
      </c>
      <c r="AQ7" s="11">
        <v>6.24</v>
      </c>
      <c r="AR7" s="11">
        <v>14.64</v>
      </c>
      <c r="AS7" s="11">
        <v>9.19</v>
      </c>
      <c r="AT7" s="11">
        <v>-3.09</v>
      </c>
      <c r="AU7" s="11">
        <v>10.35</v>
      </c>
      <c r="AV7" s="11">
        <v>10.35</v>
      </c>
      <c r="AW7" s="11">
        <v>11.74</v>
      </c>
      <c r="AX7" s="11">
        <v>11.91</v>
      </c>
      <c r="AY7" s="11">
        <v>14.7</v>
      </c>
      <c r="AZ7" s="11">
        <v>11.24</v>
      </c>
      <c r="BA7" s="11">
        <v>14.56</v>
      </c>
      <c r="BB7" s="11">
        <v>17.12</v>
      </c>
      <c r="BC7" s="11">
        <v>4.8899999999999997</v>
      </c>
      <c r="BD7" s="11">
        <v>7.67</v>
      </c>
      <c r="BE7" s="35">
        <v>18.95</v>
      </c>
      <c r="BF7" s="11">
        <v>11.64</v>
      </c>
      <c r="BG7" s="11">
        <v>30</v>
      </c>
      <c r="BH7" s="11">
        <v>22.34</v>
      </c>
      <c r="BI7" s="11">
        <v>11.71</v>
      </c>
      <c r="BK7" s="16">
        <v>23.07</v>
      </c>
      <c r="BL7" s="16">
        <v>28.22</v>
      </c>
      <c r="BM7" s="11">
        <v>15.03</v>
      </c>
      <c r="BN7" s="11">
        <v>9.65</v>
      </c>
      <c r="BO7" s="11">
        <v>0.6</v>
      </c>
      <c r="BP7" s="11">
        <v>7.94</v>
      </c>
      <c r="BQ7" s="11">
        <v>8.23</v>
      </c>
      <c r="BR7" s="11">
        <v>7.07</v>
      </c>
      <c r="BS7" s="11">
        <v>63.18</v>
      </c>
      <c r="BT7" s="11">
        <v>12.59</v>
      </c>
      <c r="BU7" s="11">
        <v>7</v>
      </c>
      <c r="BV7" s="11">
        <v>21.27</v>
      </c>
      <c r="BW7" s="11">
        <v>17.100000000000001</v>
      </c>
      <c r="BX7" s="11">
        <v>24.45</v>
      </c>
      <c r="BY7" s="11">
        <v>8.9600000000000009</v>
      </c>
      <c r="BZ7" s="11">
        <v>3.6</v>
      </c>
      <c r="CA7" s="11">
        <v>4.3600000000000003</v>
      </c>
      <c r="CB7" s="11">
        <v>24.79</v>
      </c>
      <c r="CC7" s="11">
        <v>22.06</v>
      </c>
      <c r="CD7" s="11">
        <v>24.96</v>
      </c>
      <c r="CE7" s="11">
        <v>13.95</v>
      </c>
      <c r="CF7" s="11">
        <v>2.74</v>
      </c>
      <c r="CG7" s="11">
        <v>7.51</v>
      </c>
      <c r="CH7" s="11">
        <v>23.41</v>
      </c>
      <c r="CI7" s="11">
        <v>5.17</v>
      </c>
      <c r="CJ7" s="11">
        <v>10.85</v>
      </c>
      <c r="CK7" s="11">
        <v>38.67</v>
      </c>
      <c r="CL7" s="11">
        <v>26.39</v>
      </c>
      <c r="CM7" s="11">
        <v>14</v>
      </c>
      <c r="CN7" s="11">
        <v>22.47</v>
      </c>
      <c r="CO7" s="11">
        <v>2.39</v>
      </c>
      <c r="CP7" s="11">
        <v>0.98</v>
      </c>
      <c r="CQ7" s="11">
        <v>8.5500000000000007</v>
      </c>
      <c r="CR7" s="11">
        <v>16.309999999999999</v>
      </c>
      <c r="CS7" s="11">
        <v>61.05</v>
      </c>
      <c r="CT7" s="11">
        <v>9.1199999999999992</v>
      </c>
      <c r="CU7" s="11">
        <v>4.53</v>
      </c>
      <c r="CV7" s="11">
        <v>15.82</v>
      </c>
      <c r="CW7" s="11">
        <v>10.84</v>
      </c>
      <c r="CX7" s="11">
        <v>7.72</v>
      </c>
      <c r="CY7" s="11">
        <v>16.5</v>
      </c>
      <c r="CZ7" s="11">
        <v>22.08</v>
      </c>
      <c r="DA7" s="11">
        <v>13.29</v>
      </c>
      <c r="DB7" s="11">
        <v>12.36</v>
      </c>
      <c r="DC7" s="11">
        <v>16.010000000000002</v>
      </c>
      <c r="DD7" s="11">
        <v>22.07</v>
      </c>
      <c r="DE7" s="11">
        <v>21.17</v>
      </c>
      <c r="DF7" s="11">
        <v>12.56</v>
      </c>
      <c r="DG7" s="11">
        <v>32.380000000000003</v>
      </c>
      <c r="DH7" s="11">
        <v>-0.26</v>
      </c>
      <c r="DI7" s="11">
        <v>24.88</v>
      </c>
      <c r="DJ7" s="11">
        <v>3.61</v>
      </c>
      <c r="DK7" s="11">
        <v>21.68</v>
      </c>
      <c r="DL7" s="11">
        <v>9.6300000000000008</v>
      </c>
      <c r="DM7" s="11">
        <v>14.36</v>
      </c>
      <c r="DN7" s="11">
        <v>9.8800000000000008</v>
      </c>
      <c r="DO7" s="11">
        <v>5.89</v>
      </c>
      <c r="DP7" s="11">
        <v>7.78</v>
      </c>
      <c r="DQ7" s="11">
        <v>6.27</v>
      </c>
      <c r="DR7" s="11">
        <v>15</v>
      </c>
      <c r="DS7" s="11">
        <v>13.51</v>
      </c>
      <c r="DT7" s="11">
        <v>39.25</v>
      </c>
      <c r="DU7" s="11">
        <v>-4.5999999999999996</v>
      </c>
      <c r="DV7" s="11">
        <v>7.1</v>
      </c>
      <c r="DW7" s="11">
        <v>9.2799999999999994</v>
      </c>
      <c r="DX7" s="11">
        <v>9.32</v>
      </c>
      <c r="DY7" s="11">
        <v>24.58</v>
      </c>
      <c r="DZ7" s="11">
        <v>6.64</v>
      </c>
      <c r="EA7" s="11">
        <v>3.17</v>
      </c>
      <c r="EB7" s="11">
        <v>5.93</v>
      </c>
      <c r="EC7" s="11">
        <v>2.1800000000000002</v>
      </c>
      <c r="ED7" s="11">
        <v>12.02</v>
      </c>
      <c r="EE7" s="11">
        <v>4.9400000000000004</v>
      </c>
      <c r="EF7" s="11">
        <v>20.64</v>
      </c>
      <c r="EG7" s="11">
        <v>17.600000000000001</v>
      </c>
      <c r="EH7" s="11">
        <v>21.38</v>
      </c>
      <c r="EI7" s="11">
        <v>13.03</v>
      </c>
      <c r="EJ7" s="11">
        <v>13.48</v>
      </c>
      <c r="EK7" s="11">
        <v>21.1</v>
      </c>
      <c r="EL7" s="11">
        <v>2.23</v>
      </c>
      <c r="EM7" s="11">
        <v>8.39</v>
      </c>
      <c r="EN7" s="11">
        <v>14.76</v>
      </c>
      <c r="EQ7" s="11">
        <v>148.85</v>
      </c>
      <c r="EZ7" s="11">
        <v>33.28</v>
      </c>
      <c r="FA7" s="16">
        <v>33.78</v>
      </c>
      <c r="FB7" s="11">
        <v>31.29</v>
      </c>
      <c r="FC7" s="11">
        <v>47.7</v>
      </c>
      <c r="FD7" s="11">
        <v>76.28</v>
      </c>
      <c r="FE7" s="11">
        <v>22.49</v>
      </c>
      <c r="FF7" s="11">
        <v>27.55</v>
      </c>
      <c r="FG7" s="11">
        <v>68.83</v>
      </c>
      <c r="FH7" s="11">
        <v>30.8</v>
      </c>
      <c r="FI7" s="11">
        <v>25</v>
      </c>
      <c r="FJ7" s="11">
        <v>31.05</v>
      </c>
      <c r="FK7" s="11">
        <v>29.17</v>
      </c>
      <c r="FL7" s="11">
        <v>36.33</v>
      </c>
      <c r="FM7" s="11">
        <v>34.049999999999997</v>
      </c>
      <c r="FN7" s="11">
        <v>41.35</v>
      </c>
      <c r="FO7" s="16">
        <v>28.09</v>
      </c>
      <c r="FP7" s="11">
        <v>73.900000000000006</v>
      </c>
      <c r="FQ7" s="11">
        <v>67.5</v>
      </c>
      <c r="FR7" s="11">
        <v>60.43</v>
      </c>
      <c r="FS7" s="11">
        <v>21</v>
      </c>
      <c r="FT7" s="11">
        <v>22.27</v>
      </c>
      <c r="FU7" s="11">
        <v>29.44</v>
      </c>
      <c r="FV7" s="11">
        <v>28.02</v>
      </c>
      <c r="FW7" s="11">
        <v>21.36</v>
      </c>
      <c r="FX7" s="11">
        <v>187.99</v>
      </c>
      <c r="FY7" s="11">
        <v>43.26</v>
      </c>
      <c r="FZ7" s="11">
        <v>73.209999999999994</v>
      </c>
      <c r="GA7" s="11">
        <v>42</v>
      </c>
      <c r="GB7" s="11">
        <v>23.23</v>
      </c>
      <c r="GC7" s="11">
        <v>36.479999999999997</v>
      </c>
      <c r="GD7" s="16">
        <v>23.34</v>
      </c>
      <c r="GE7" s="11">
        <v>66.72</v>
      </c>
      <c r="GF7" s="11">
        <v>42.57</v>
      </c>
      <c r="GG7" s="11">
        <v>46.65</v>
      </c>
      <c r="GH7" s="11">
        <v>22.34</v>
      </c>
      <c r="GI7" s="11">
        <v>26.83</v>
      </c>
      <c r="GJ7" s="16">
        <v>30.95</v>
      </c>
      <c r="GK7" s="11">
        <v>26.7</v>
      </c>
      <c r="GL7" s="11">
        <v>20.61</v>
      </c>
      <c r="GM7" s="11">
        <v>26.09</v>
      </c>
      <c r="GN7" s="11">
        <v>22.47</v>
      </c>
      <c r="GO7" s="11">
        <v>23.01</v>
      </c>
      <c r="GP7" s="11">
        <v>25.51</v>
      </c>
      <c r="GQ7" s="11">
        <v>22.01</v>
      </c>
      <c r="GR7" s="11">
        <v>56.02</v>
      </c>
      <c r="GS7" s="11">
        <v>20.309999999999999</v>
      </c>
      <c r="HB7" s="11">
        <v>47.29</v>
      </c>
      <c r="HC7" s="11">
        <v>14.96</v>
      </c>
      <c r="HD7" s="11">
        <v>31.64</v>
      </c>
      <c r="HE7" s="11">
        <v>8.6199999999999992</v>
      </c>
      <c r="HF7" s="11">
        <v>29.32</v>
      </c>
      <c r="HG7" s="11">
        <v>-27.7</v>
      </c>
      <c r="HH7" s="11">
        <v>14.11</v>
      </c>
      <c r="HI7" s="11">
        <v>22.15</v>
      </c>
      <c r="HK7" s="11">
        <v>16.62</v>
      </c>
      <c r="HL7" s="11">
        <v>61.55</v>
      </c>
      <c r="HM7" s="11">
        <v>23.67</v>
      </c>
      <c r="HN7" s="11">
        <v>16.46</v>
      </c>
      <c r="HO7" s="11">
        <v>19.47</v>
      </c>
      <c r="HP7" s="11">
        <v>37.07</v>
      </c>
      <c r="HQ7" s="11">
        <v>12.5</v>
      </c>
      <c r="HR7" s="11">
        <v>27.85</v>
      </c>
      <c r="HS7" s="11">
        <v>22</v>
      </c>
      <c r="HT7" s="11">
        <v>15.72</v>
      </c>
      <c r="HU7" s="11">
        <v>28.61</v>
      </c>
      <c r="HV7" s="11">
        <v>24.96</v>
      </c>
      <c r="HW7" s="11">
        <v>38.950000000000003</v>
      </c>
      <c r="HX7" s="11">
        <v>22.39</v>
      </c>
      <c r="HY7" s="11">
        <v>17.190000000000001</v>
      </c>
    </row>
    <row r="8" spans="1:233" x14ac:dyDescent="0.5">
      <c r="A8" s="5" t="s">
        <v>6</v>
      </c>
      <c r="B8" s="24" t="str">
        <f>IF(B7="","",B6/B7)</f>
        <v/>
      </c>
      <c r="C8" s="6">
        <f>IF(C7="","",C6/C7)</f>
        <v>0.53101997896950581</v>
      </c>
      <c r="D8" s="6" t="str">
        <f t="shared" ref="D8:AA8" si="0">IF(D7="","",D6/D7)</f>
        <v/>
      </c>
      <c r="E8" s="6" t="str">
        <f t="shared" si="0"/>
        <v/>
      </c>
      <c r="F8" s="6" t="str">
        <f t="shared" si="0"/>
        <v/>
      </c>
      <c r="G8" s="6" t="str">
        <f t="shared" si="0"/>
        <v/>
      </c>
      <c r="H8" s="6" t="str">
        <f t="shared" si="0"/>
        <v/>
      </c>
      <c r="I8" s="6">
        <f t="shared" si="0"/>
        <v>1.858786610878661</v>
      </c>
      <c r="J8" s="6">
        <f t="shared" si="0"/>
        <v>1.7815239379635874</v>
      </c>
      <c r="K8" s="6">
        <f t="shared" si="0"/>
        <v>3.1839303000968053</v>
      </c>
      <c r="L8" s="6">
        <f t="shared" si="0"/>
        <v>1.7541204170871174</v>
      </c>
      <c r="M8" s="6">
        <f t="shared" si="0"/>
        <v>1.7541204170871174</v>
      </c>
      <c r="N8" s="6">
        <f t="shared" si="0"/>
        <v>1.5420439844760672</v>
      </c>
      <c r="O8" s="6">
        <f t="shared" si="0"/>
        <v>14.194736842105263</v>
      </c>
      <c r="P8" s="6">
        <f t="shared" si="0"/>
        <v>1.0961161239701844</v>
      </c>
      <c r="Q8" s="6" t="str">
        <f t="shared" si="0"/>
        <v/>
      </c>
      <c r="R8" s="6">
        <f t="shared" si="0"/>
        <v>2.0553359683794468</v>
      </c>
      <c r="S8" s="6">
        <f t="shared" si="0"/>
        <v>1.2518915510718791</v>
      </c>
      <c r="T8" s="6">
        <f t="shared" si="0"/>
        <v>4.9910371318822024</v>
      </c>
      <c r="U8" s="6">
        <f t="shared" si="0"/>
        <v>1.5869565217391306</v>
      </c>
      <c r="V8" s="6">
        <f t="shared" si="0"/>
        <v>2.0418929402637702</v>
      </c>
      <c r="W8" s="6">
        <f t="shared" si="0"/>
        <v>2.0418929402637702</v>
      </c>
      <c r="X8" s="6">
        <f t="shared" si="0"/>
        <v>1.5170193192272308</v>
      </c>
      <c r="Y8" s="6">
        <f t="shared" si="0"/>
        <v>1.7743652743652742</v>
      </c>
      <c r="Z8" s="6">
        <f t="shared" si="0"/>
        <v>6.0824327720532798</v>
      </c>
      <c r="AA8" s="6">
        <f t="shared" si="0"/>
        <v>2.0992498557414891</v>
      </c>
      <c r="AB8" s="6">
        <f>IF(AB7="","",AB6/AB7)</f>
        <v>4.7229652273595719E-2</v>
      </c>
      <c r="AC8" s="6">
        <f t="shared" ref="AC8:AX8" si="1">IF(AC7="","",AC6/AC7)</f>
        <v>2.5458579881656807</v>
      </c>
      <c r="AD8" s="6">
        <f t="shared" si="1"/>
        <v>5.2949308755760374</v>
      </c>
      <c r="AE8" s="6">
        <f t="shared" si="1"/>
        <v>0.92999999999999994</v>
      </c>
      <c r="AF8" s="6">
        <f t="shared" si="1"/>
        <v>1.2876797998749219</v>
      </c>
      <c r="AG8" s="6">
        <f t="shared" si="1"/>
        <v>1.4690633406700904</v>
      </c>
      <c r="AH8" s="6">
        <f t="shared" si="1"/>
        <v>2.4086687306501551</v>
      </c>
      <c r="AI8" s="6">
        <f t="shared" si="1"/>
        <v>4.8769841269841265</v>
      </c>
      <c r="AJ8" s="6">
        <f t="shared" si="1"/>
        <v>3.9210526315789469</v>
      </c>
      <c r="AK8" s="6">
        <f t="shared" si="1"/>
        <v>2.3669238187078112</v>
      </c>
      <c r="AL8" s="6">
        <f t="shared" si="1"/>
        <v>2.1656504065040649</v>
      </c>
      <c r="AM8" s="6">
        <f t="shared" si="1"/>
        <v>3.2503516174402249</v>
      </c>
      <c r="AN8" s="6">
        <f t="shared" si="1"/>
        <v>3.747950819672131</v>
      </c>
      <c r="AO8" s="6">
        <f t="shared" si="1"/>
        <v>4.0396475770925111</v>
      </c>
      <c r="AP8" s="6">
        <f t="shared" si="1"/>
        <v>-54.777777777777779</v>
      </c>
      <c r="AQ8" s="6">
        <f t="shared" si="1"/>
        <v>2.8157051282051282</v>
      </c>
      <c r="AR8" s="6">
        <f t="shared" si="1"/>
        <v>0.94330601092896171</v>
      </c>
      <c r="AS8" s="6">
        <f t="shared" si="1"/>
        <v>3.3427638737758434</v>
      </c>
      <c r="AT8" s="6">
        <f t="shared" si="1"/>
        <v>-3.6796116504854366</v>
      </c>
      <c r="AU8" s="6">
        <f t="shared" si="1"/>
        <v>2.7265700483091786</v>
      </c>
      <c r="AV8" s="6">
        <f t="shared" si="1"/>
        <v>2.7265700483091786</v>
      </c>
      <c r="AW8" s="6">
        <f t="shared" si="1"/>
        <v>1.4114139693356047</v>
      </c>
      <c r="AX8" s="6">
        <f t="shared" si="1"/>
        <v>1.9857262804366078</v>
      </c>
      <c r="AY8" s="6">
        <f t="shared" ref="AY8" si="2">IF(AY7="","",AY6/AY7)</f>
        <v>1.1013605442176873</v>
      </c>
      <c r="AZ8" s="6">
        <f t="shared" ref="AZ8" si="3">IF(AZ7="","",AZ6/AZ7)</f>
        <v>1.7642348754448396</v>
      </c>
      <c r="BA8" s="6">
        <f t="shared" ref="BA8" si="4">IF(BA7="","",BA6/BA7)</f>
        <v>1.2857142857142856</v>
      </c>
      <c r="BB8" s="6">
        <f t="shared" ref="BB8" si="5">IF(BB7="","",BB6/BB7)</f>
        <v>1.231308411214953</v>
      </c>
      <c r="BC8" s="6">
        <f t="shared" ref="BC8" si="6">IF(BC7="","",BC6/BC7)</f>
        <v>2.9386503067484662</v>
      </c>
      <c r="BD8" s="32">
        <f t="shared" ref="BD8" si="7">IF(BD7="","",BD6/BD7)</f>
        <v>3.2555410691003912</v>
      </c>
      <c r="BE8" s="6">
        <f t="shared" ref="BE8" si="8">IF(BE7="","",BE6/BE7)</f>
        <v>1.7757255936675462</v>
      </c>
      <c r="BF8" s="37">
        <f t="shared" ref="BF8" si="9">IF(BF7="","",BF6/BF7)</f>
        <v>2.4862542955326461</v>
      </c>
      <c r="BG8" s="6">
        <f t="shared" ref="BG8" si="10">IF(BG7="","",BG6/BG7)</f>
        <v>0</v>
      </c>
      <c r="BH8" s="6">
        <f t="shared" ref="BH8" si="11">IF(BH7="","",BH6/BH7)</f>
        <v>4.1530886302596244</v>
      </c>
      <c r="BI8" s="6">
        <f t="shared" ref="BI8" si="12">IF(BI7="","",BI6/BI7)</f>
        <v>2.8778821520068316</v>
      </c>
      <c r="BJ8" s="32" t="str">
        <f t="shared" ref="BJ8" si="13">IF(BJ7="","",BJ6/BJ7)</f>
        <v/>
      </c>
      <c r="BK8" s="6">
        <f t="shared" ref="BK8:DV8" si="14">IF(BK7="","",BK6/BK7)</f>
        <v>0.88990030342436066</v>
      </c>
      <c r="BL8" s="6">
        <f t="shared" si="14"/>
        <v>0.60666194188518785</v>
      </c>
      <c r="BM8" s="6">
        <f t="shared" si="14"/>
        <v>3.6966067864271461</v>
      </c>
      <c r="BN8" s="6">
        <f t="shared" si="14"/>
        <v>2.5119170984455956</v>
      </c>
      <c r="BO8" s="6">
        <f t="shared" si="14"/>
        <v>18.8</v>
      </c>
      <c r="BP8" s="6">
        <f t="shared" si="14"/>
        <v>3.1360201511335011</v>
      </c>
      <c r="BQ8" s="6">
        <f t="shared" si="14"/>
        <v>1.1628189550425274</v>
      </c>
      <c r="BR8" s="6">
        <f t="shared" si="14"/>
        <v>3.4710042432814707</v>
      </c>
      <c r="BS8" s="6">
        <f t="shared" si="14"/>
        <v>1.0555555555555556</v>
      </c>
      <c r="BT8" s="6">
        <f t="shared" si="14"/>
        <v>1.1517077045274027</v>
      </c>
      <c r="BU8" s="6">
        <f t="shared" si="14"/>
        <v>1.8785714285714286</v>
      </c>
      <c r="BV8" s="6">
        <f t="shared" si="14"/>
        <v>0.88340385519511044</v>
      </c>
      <c r="BW8" s="6">
        <f t="shared" si="14"/>
        <v>3.7116959064327482</v>
      </c>
      <c r="BX8" s="6">
        <f t="shared" si="14"/>
        <v>4.4184049079754599</v>
      </c>
      <c r="BY8" s="6">
        <f t="shared" si="14"/>
        <v>2.8225446428571423</v>
      </c>
      <c r="BZ8" s="6">
        <f t="shared" si="14"/>
        <v>4.8472222222222223</v>
      </c>
      <c r="CA8" s="6">
        <f t="shared" si="14"/>
        <v>3.2133027522935778</v>
      </c>
      <c r="CB8" s="6">
        <f t="shared" si="14"/>
        <v>0.50504235578862444</v>
      </c>
      <c r="CC8" s="6">
        <f t="shared" si="14"/>
        <v>1.2239347234814144</v>
      </c>
      <c r="CD8" s="6">
        <f t="shared" si="14"/>
        <v>1.9859775641025641</v>
      </c>
      <c r="CE8" s="6">
        <f t="shared" si="14"/>
        <v>1.6021505376344087</v>
      </c>
      <c r="CF8" s="6">
        <f t="shared" si="14"/>
        <v>4.383211678832116</v>
      </c>
      <c r="CG8" s="6">
        <f t="shared" si="14"/>
        <v>2.9640479360852199</v>
      </c>
      <c r="CH8" s="6">
        <f t="shared" si="14"/>
        <v>0.84023921401110646</v>
      </c>
      <c r="CI8" s="6">
        <f t="shared" si="14"/>
        <v>2.88394584139265</v>
      </c>
      <c r="CJ8" s="6">
        <f t="shared" si="14"/>
        <v>1.1290322580645162</v>
      </c>
      <c r="CK8" s="6">
        <f t="shared" si="14"/>
        <v>1.0799069045771916</v>
      </c>
      <c r="CL8" s="6">
        <f t="shared" si="14"/>
        <v>0.93103448275862066</v>
      </c>
      <c r="CM8" s="6">
        <f t="shared" si="14"/>
        <v>2.0921428571428571</v>
      </c>
      <c r="CN8" s="6">
        <f t="shared" si="14"/>
        <v>2.070315976858033</v>
      </c>
      <c r="CO8" s="6">
        <f t="shared" si="14"/>
        <v>3.5481171548117154</v>
      </c>
      <c r="CP8" s="6">
        <f t="shared" si="14"/>
        <v>24</v>
      </c>
      <c r="CQ8" s="6">
        <f t="shared" si="14"/>
        <v>3.6573099415204675</v>
      </c>
      <c r="CR8" s="6">
        <f t="shared" si="14"/>
        <v>1.3206621704475783</v>
      </c>
      <c r="CS8" s="6">
        <f t="shared" si="14"/>
        <v>1.2886158886158887</v>
      </c>
      <c r="CT8" s="6">
        <f t="shared" si="14"/>
        <v>1.9122807017543864</v>
      </c>
      <c r="CU8" s="6">
        <f t="shared" si="14"/>
        <v>3.8565121412803527</v>
      </c>
      <c r="CV8" s="6">
        <f t="shared" si="14"/>
        <v>0.65739570164348926</v>
      </c>
      <c r="CW8" s="6">
        <f t="shared" si="14"/>
        <v>2.5396678966789668</v>
      </c>
      <c r="CX8" s="6">
        <f t="shared" si="14"/>
        <v>3.5362694300518136</v>
      </c>
      <c r="CY8" s="6">
        <f t="shared" si="14"/>
        <v>1.9781818181818183</v>
      </c>
      <c r="CZ8" s="6">
        <f t="shared" si="14"/>
        <v>0.68432971014492761</v>
      </c>
      <c r="DA8" s="6">
        <f t="shared" si="14"/>
        <v>2.3461249059443192</v>
      </c>
      <c r="DB8" s="6">
        <f t="shared" si="14"/>
        <v>1.7030744336569581</v>
      </c>
      <c r="DC8" s="6">
        <f t="shared" si="14"/>
        <v>0.97626483447845092</v>
      </c>
      <c r="DD8" s="6">
        <f t="shared" si="14"/>
        <v>6.5523334843679208</v>
      </c>
      <c r="DE8" s="6">
        <f t="shared" si="14"/>
        <v>2.9896079357581482</v>
      </c>
      <c r="DF8" s="6">
        <f t="shared" si="14"/>
        <v>2.6560509554140124</v>
      </c>
      <c r="DG8" s="6">
        <f t="shared" si="14"/>
        <v>1.6080914144533662</v>
      </c>
      <c r="DH8" s="6">
        <f t="shared" si="14"/>
        <v>-30.384615384615383</v>
      </c>
      <c r="DI8" s="6">
        <f t="shared" si="14"/>
        <v>3.7363344051446945</v>
      </c>
      <c r="DJ8" s="6">
        <f t="shared" si="14"/>
        <v>3.6038781163434903</v>
      </c>
      <c r="DK8" s="6">
        <f t="shared" si="14"/>
        <v>0.50507380073800734</v>
      </c>
      <c r="DL8" s="6">
        <f t="shared" si="14"/>
        <v>1.4278296988577361</v>
      </c>
      <c r="DM8" s="6">
        <f t="shared" si="14"/>
        <v>1.0967966573816157</v>
      </c>
      <c r="DN8" s="6">
        <f t="shared" si="14"/>
        <v>2.6437246963562751</v>
      </c>
      <c r="DO8" s="6">
        <f t="shared" si="14"/>
        <v>1.5059422750424447</v>
      </c>
      <c r="DP8" s="6">
        <f t="shared" si="14"/>
        <v>2.388174807197943</v>
      </c>
      <c r="DQ8" s="6">
        <f t="shared" si="14"/>
        <v>2.9936204146730465</v>
      </c>
      <c r="DR8" s="6">
        <f t="shared" si="14"/>
        <v>0</v>
      </c>
      <c r="DS8" s="6">
        <f t="shared" si="14"/>
        <v>0.9015544041450777</v>
      </c>
      <c r="DT8" s="6">
        <f t="shared" si="14"/>
        <v>1.8838216560509553</v>
      </c>
      <c r="DU8" s="6">
        <f t="shared" si="14"/>
        <v>-5.519565217391305</v>
      </c>
      <c r="DV8" s="6">
        <f t="shared" si="14"/>
        <v>2.5732394366197182</v>
      </c>
      <c r="DW8" s="6">
        <f t="shared" ref="DW8:GH8" si="15">IF(DW7="","",DW6/DW7)</f>
        <v>1.8178879310344831</v>
      </c>
      <c r="DX8" s="6">
        <f t="shared" si="15"/>
        <v>1.1824034334763949</v>
      </c>
      <c r="DY8" s="6">
        <f t="shared" si="15"/>
        <v>0.58665581773799846</v>
      </c>
      <c r="DZ8" s="6">
        <f t="shared" si="15"/>
        <v>0</v>
      </c>
      <c r="EA8" s="6">
        <f t="shared" si="15"/>
        <v>3.7602523659305995</v>
      </c>
      <c r="EB8" s="6">
        <f t="shared" si="15"/>
        <v>2.7655986509274872</v>
      </c>
      <c r="EC8" s="6">
        <f t="shared" si="15"/>
        <v>5.1422018348623855</v>
      </c>
      <c r="ED8" s="6">
        <f t="shared" si="15"/>
        <v>0.85274542429284528</v>
      </c>
      <c r="EE8" s="6">
        <f t="shared" si="15"/>
        <v>2.4655870445344128</v>
      </c>
      <c r="EF8" s="6">
        <f t="shared" si="15"/>
        <v>1.4249031007751938</v>
      </c>
      <c r="EG8" s="6">
        <f t="shared" si="15"/>
        <v>2.180113636363636</v>
      </c>
      <c r="EH8" s="6">
        <f t="shared" si="15"/>
        <v>1.2385406922357345</v>
      </c>
      <c r="EI8" s="6">
        <f t="shared" si="15"/>
        <v>1.3231005372217959</v>
      </c>
      <c r="EJ8" s="6">
        <f t="shared" si="15"/>
        <v>1.4132047477744807</v>
      </c>
      <c r="EK8" s="6">
        <f t="shared" si="15"/>
        <v>1.1165876777251182</v>
      </c>
      <c r="EL8" s="6">
        <f t="shared" si="15"/>
        <v>6.0896860986547088</v>
      </c>
      <c r="EM8" s="6">
        <f t="shared" si="15"/>
        <v>3.3444576877234797</v>
      </c>
      <c r="EN8" s="6">
        <f t="shared" si="15"/>
        <v>1.4959349593495934</v>
      </c>
      <c r="EO8" s="6" t="str">
        <f t="shared" si="15"/>
        <v/>
      </c>
      <c r="EP8" s="6" t="str">
        <f t="shared" si="15"/>
        <v/>
      </c>
      <c r="EQ8" s="6">
        <f t="shared" si="15"/>
        <v>0.14968088679879074</v>
      </c>
      <c r="ER8" s="6" t="str">
        <f t="shared" si="15"/>
        <v/>
      </c>
      <c r="ES8" s="6" t="str">
        <f t="shared" si="15"/>
        <v/>
      </c>
      <c r="ET8" s="6" t="str">
        <f t="shared" si="15"/>
        <v/>
      </c>
      <c r="EU8" s="6" t="str">
        <f t="shared" si="15"/>
        <v/>
      </c>
      <c r="EV8" s="6" t="str">
        <f t="shared" si="15"/>
        <v/>
      </c>
      <c r="EW8" s="6" t="str">
        <f t="shared" si="15"/>
        <v/>
      </c>
      <c r="EX8" s="6" t="str">
        <f t="shared" si="15"/>
        <v/>
      </c>
      <c r="EY8" s="6" t="str">
        <f t="shared" si="15"/>
        <v/>
      </c>
      <c r="EZ8" s="32">
        <f t="shared" si="15"/>
        <v>0.97596153846153832</v>
      </c>
      <c r="FA8" s="6">
        <f t="shared" si="15"/>
        <v>0.23475429248075783</v>
      </c>
      <c r="FB8" s="6">
        <f t="shared" si="15"/>
        <v>0.83860658357302653</v>
      </c>
      <c r="FC8" s="6">
        <f t="shared" si="15"/>
        <v>0.31174004192872112</v>
      </c>
      <c r="FD8" s="6">
        <f t="shared" si="15"/>
        <v>0.96054011536444672</v>
      </c>
      <c r="FE8" s="6">
        <f t="shared" si="15"/>
        <v>0.54957759004001783</v>
      </c>
      <c r="FF8" s="6">
        <f t="shared" si="15"/>
        <v>2.7506352087114339</v>
      </c>
      <c r="FG8" s="6">
        <f t="shared" si="15"/>
        <v>0.36510242626761585</v>
      </c>
      <c r="FH8" s="6">
        <f t="shared" si="15"/>
        <v>0.8467532467532467</v>
      </c>
      <c r="FI8" s="6">
        <f t="shared" si="15"/>
        <v>9.9540000000000006</v>
      </c>
      <c r="FJ8" s="6">
        <f t="shared" si="15"/>
        <v>1.2653784219001609</v>
      </c>
      <c r="FK8" s="6">
        <f t="shared" si="15"/>
        <v>0.64449777168323619</v>
      </c>
      <c r="FL8" s="6">
        <f t="shared" si="15"/>
        <v>0.723644371043215</v>
      </c>
      <c r="FM8" s="6">
        <f t="shared" si="15"/>
        <v>0.97826725403817927</v>
      </c>
      <c r="FN8" s="32">
        <f t="shared" si="15"/>
        <v>0.46408706166868202</v>
      </c>
      <c r="FO8" s="6">
        <f t="shared" si="15"/>
        <v>0.38341046635813453</v>
      </c>
      <c r="FP8" s="6">
        <f t="shared" si="15"/>
        <v>9.6481732070365353E-2</v>
      </c>
      <c r="FQ8" s="6">
        <f t="shared" si="15"/>
        <v>0.5988148148148148</v>
      </c>
      <c r="FR8" s="6">
        <f t="shared" si="15"/>
        <v>0.66589442329968562</v>
      </c>
      <c r="FS8" s="6">
        <f t="shared" si="15"/>
        <v>1.6157142857142857</v>
      </c>
      <c r="FT8" s="6">
        <f t="shared" si="15"/>
        <v>1.250561293219578</v>
      </c>
      <c r="FU8" s="6">
        <f t="shared" si="15"/>
        <v>1.4789402173913042</v>
      </c>
      <c r="FV8" s="6">
        <f t="shared" si="15"/>
        <v>3.397930049964311</v>
      </c>
      <c r="FW8" s="6">
        <f t="shared" si="15"/>
        <v>0.99765917602996257</v>
      </c>
      <c r="FX8" s="6">
        <f t="shared" si="15"/>
        <v>0.83238470131389963</v>
      </c>
      <c r="FY8" s="6">
        <f t="shared" si="15"/>
        <v>1.7619047619047619</v>
      </c>
      <c r="FZ8" s="6">
        <f t="shared" si="15"/>
        <v>1.2088512498292585</v>
      </c>
      <c r="GA8" s="6">
        <f t="shared" si="15"/>
        <v>1.9892857142857143</v>
      </c>
      <c r="GB8" s="6">
        <f t="shared" si="15"/>
        <v>0.88979767541971599</v>
      </c>
      <c r="GC8" s="6">
        <f t="shared" si="15"/>
        <v>1.1214364035087718</v>
      </c>
      <c r="GD8" s="6">
        <f t="shared" si="15"/>
        <v>0.63667523564695794</v>
      </c>
      <c r="GE8" s="6">
        <f t="shared" si="15"/>
        <v>1.1816546762589928</v>
      </c>
      <c r="GF8" s="6">
        <f t="shared" si="15"/>
        <v>2.1881606765327697</v>
      </c>
      <c r="GG8" s="6">
        <f t="shared" si="15"/>
        <v>4.7391211146838161</v>
      </c>
      <c r="GH8" s="6">
        <f t="shared" si="15"/>
        <v>2.5116383169203225</v>
      </c>
      <c r="GI8" s="6">
        <f t="shared" ref="GI8:HY8" si="16">IF(GI7="","",GI6/GI7)</f>
        <v>9.5087588520313098</v>
      </c>
      <c r="GJ8" s="6">
        <f t="shared" si="16"/>
        <v>0.65331179321486266</v>
      </c>
      <c r="GK8" s="6">
        <f t="shared" si="16"/>
        <v>0.57677902621722854</v>
      </c>
      <c r="GL8" s="6">
        <f t="shared" si="16"/>
        <v>0.79475982532751088</v>
      </c>
      <c r="GM8" s="6">
        <f t="shared" si="16"/>
        <v>0.96933691069375238</v>
      </c>
      <c r="GN8" s="6">
        <f t="shared" si="16"/>
        <v>0.99243435692033832</v>
      </c>
      <c r="GO8" s="6">
        <f t="shared" si="16"/>
        <v>3.78096479791395</v>
      </c>
      <c r="GP8" s="6">
        <f t="shared" si="16"/>
        <v>1.1905135241081928</v>
      </c>
      <c r="GQ8" s="6">
        <f t="shared" si="16"/>
        <v>1.7387551113130395</v>
      </c>
      <c r="GR8" s="6">
        <f t="shared" si="16"/>
        <v>0.50107104605498032</v>
      </c>
      <c r="GS8" s="6">
        <f t="shared" si="16"/>
        <v>1.5947808961102907</v>
      </c>
      <c r="GT8" s="6" t="str">
        <f t="shared" si="16"/>
        <v/>
      </c>
      <c r="GU8" s="6" t="str">
        <f t="shared" si="16"/>
        <v/>
      </c>
      <c r="GV8" s="6" t="str">
        <f t="shared" si="16"/>
        <v/>
      </c>
      <c r="GW8" s="6" t="str">
        <f t="shared" si="16"/>
        <v/>
      </c>
      <c r="GX8" s="6" t="str">
        <f t="shared" si="16"/>
        <v/>
      </c>
      <c r="GY8" s="6" t="str">
        <f t="shared" si="16"/>
        <v/>
      </c>
      <c r="GZ8" s="6" t="str">
        <f t="shared" si="16"/>
        <v/>
      </c>
      <c r="HA8" s="6" t="str">
        <f t="shared" si="16"/>
        <v/>
      </c>
      <c r="HB8" s="6">
        <f t="shared" si="16"/>
        <v>1.7695072954112923</v>
      </c>
      <c r="HC8" s="6">
        <f t="shared" si="16"/>
        <v>1.5848930481283423</v>
      </c>
      <c r="HD8" s="6">
        <f t="shared" si="16"/>
        <v>1.2917193426042983</v>
      </c>
      <c r="HE8" s="6">
        <f t="shared" si="16"/>
        <v>3.2714617169373552</v>
      </c>
      <c r="HF8" s="6">
        <f t="shared" si="16"/>
        <v>1.6139154160982265</v>
      </c>
      <c r="HG8" s="6">
        <f t="shared" si="16"/>
        <v>-5.9729241877256314</v>
      </c>
      <c r="HH8" s="6">
        <f t="shared" si="16"/>
        <v>2.4188518781006381</v>
      </c>
      <c r="HI8" s="6">
        <f t="shared" si="16"/>
        <v>1.8767494356659145</v>
      </c>
      <c r="HJ8" s="6" t="str">
        <f t="shared" si="16"/>
        <v/>
      </c>
      <c r="HK8" s="6">
        <f t="shared" si="16"/>
        <v>3.1702767749699152</v>
      </c>
      <c r="HL8" s="6">
        <f t="shared" si="16"/>
        <v>1.4038992688870837</v>
      </c>
      <c r="HM8" s="6">
        <f t="shared" si="16"/>
        <v>2.130967469370511</v>
      </c>
      <c r="HN8" s="6">
        <f t="shared" si="16"/>
        <v>1.7946537059538272</v>
      </c>
      <c r="HO8" s="6">
        <f t="shared" si="16"/>
        <v>1.5012840267077556</v>
      </c>
      <c r="HP8" s="6">
        <f t="shared" si="16"/>
        <v>1.1521445913137307</v>
      </c>
      <c r="HQ8" s="6">
        <f t="shared" si="16"/>
        <v>2.8304</v>
      </c>
      <c r="HR8" s="6">
        <f t="shared" si="16"/>
        <v>0.69443447037701966</v>
      </c>
      <c r="HS8" s="6">
        <f t="shared" si="16"/>
        <v>1.3713636363636363</v>
      </c>
      <c r="HT8" s="6">
        <f t="shared" si="16"/>
        <v>2.5082697201017812</v>
      </c>
      <c r="HU8" s="6">
        <f t="shared" si="16"/>
        <v>1.6431317721076546</v>
      </c>
      <c r="HV8" s="6">
        <f t="shared" si="16"/>
        <v>4.6201923076923075</v>
      </c>
      <c r="HW8" s="6">
        <f t="shared" si="16"/>
        <v>0.61103979460847235</v>
      </c>
      <c r="HX8" s="6">
        <f t="shared" si="16"/>
        <v>1.6922733363108531</v>
      </c>
      <c r="HY8" s="6">
        <f t="shared" si="16"/>
        <v>2.6922629435718441</v>
      </c>
    </row>
    <row r="9" spans="1:233" x14ac:dyDescent="0.5">
      <c r="A9" s="13" t="s">
        <v>7</v>
      </c>
      <c r="B9" s="3">
        <v>-204.06</v>
      </c>
      <c r="C9" s="16">
        <v>96.67</v>
      </c>
      <c r="D9" s="16">
        <v>-1.1299999999999999</v>
      </c>
      <c r="E9" s="16">
        <v>-0.68</v>
      </c>
      <c r="F9" s="16">
        <v>-0.15</v>
      </c>
      <c r="G9" s="16">
        <f>-19.37/1000</f>
        <v>-1.9370000000000002E-2</v>
      </c>
      <c r="H9" s="16">
        <v>-2.14</v>
      </c>
      <c r="I9" s="16">
        <v>10.56</v>
      </c>
      <c r="J9" s="16">
        <v>73.55</v>
      </c>
      <c r="K9" s="27">
        <v>98.77</v>
      </c>
      <c r="L9" s="16">
        <v>24.93</v>
      </c>
      <c r="M9" s="16">
        <v>78.02</v>
      </c>
      <c r="N9" s="16">
        <v>44.84</v>
      </c>
      <c r="O9" s="11">
        <v>6.83</v>
      </c>
      <c r="P9" s="11">
        <v>892.2</v>
      </c>
      <c r="Q9" s="11">
        <v>19.329999999999998</v>
      </c>
      <c r="S9" s="11">
        <v>9.27</v>
      </c>
      <c r="T9" s="11">
        <v>13.75</v>
      </c>
      <c r="U9" s="11">
        <v>-5.88</v>
      </c>
      <c r="V9" s="11">
        <v>21.58</v>
      </c>
      <c r="W9" s="11">
        <v>17</v>
      </c>
      <c r="X9" s="11">
        <v>23.77</v>
      </c>
      <c r="Y9" s="11">
        <v>8.9700000000000006</v>
      </c>
      <c r="Z9" s="11">
        <v>1.79</v>
      </c>
      <c r="AA9" s="11">
        <v>8.9600000000000009</v>
      </c>
      <c r="AB9" s="16">
        <v>10.28</v>
      </c>
      <c r="AC9" s="11">
        <v>19.600000000000001</v>
      </c>
      <c r="AD9" s="11">
        <v>7.84</v>
      </c>
      <c r="AF9" s="16">
        <v>19.68</v>
      </c>
      <c r="AG9" s="11">
        <v>5.45</v>
      </c>
      <c r="AH9" s="16">
        <v>25.9</v>
      </c>
      <c r="AI9" s="11">
        <v>14.23</v>
      </c>
      <c r="AJ9" s="11">
        <v>14.94</v>
      </c>
      <c r="AK9" s="11">
        <v>6.44</v>
      </c>
      <c r="AL9" s="11">
        <v>15.44</v>
      </c>
      <c r="AM9" s="11">
        <v>5.57</v>
      </c>
      <c r="AN9" s="11">
        <v>6.46</v>
      </c>
      <c r="AO9" s="11">
        <v>12.47</v>
      </c>
      <c r="AP9" s="11">
        <v>17.37</v>
      </c>
      <c r="AQ9" s="11">
        <v>13.29</v>
      </c>
      <c r="AS9" s="11">
        <v>7.56</v>
      </c>
      <c r="AT9" s="11">
        <v>349.63</v>
      </c>
      <c r="AU9" s="11">
        <v>5.24</v>
      </c>
      <c r="AV9" s="11">
        <v>12.66</v>
      </c>
      <c r="AX9" s="11">
        <v>18.940000000000001</v>
      </c>
      <c r="AY9" s="11">
        <v>15.77</v>
      </c>
      <c r="AZ9" s="11">
        <v>10.119999999999999</v>
      </c>
      <c r="BA9" s="11">
        <v>17.149999999999999</v>
      </c>
      <c r="BB9" s="11">
        <v>12.5</v>
      </c>
      <c r="BC9" s="11">
        <v>12.82</v>
      </c>
      <c r="BD9" s="11">
        <v>5.82</v>
      </c>
      <c r="BE9" s="35">
        <v>5.55</v>
      </c>
      <c r="BF9" s="11">
        <v>2.1</v>
      </c>
      <c r="BG9" s="11">
        <v>-6.35</v>
      </c>
      <c r="BH9" s="11">
        <v>1.1499999999999999</v>
      </c>
      <c r="BI9" s="11">
        <v>3.87</v>
      </c>
      <c r="BJ9" s="11">
        <v>-8.42</v>
      </c>
      <c r="BK9" s="16">
        <v>9.76</v>
      </c>
      <c r="BL9" s="16">
        <v>6.12</v>
      </c>
      <c r="BM9" s="11">
        <v>3.47</v>
      </c>
      <c r="BN9" s="11">
        <v>6.91</v>
      </c>
      <c r="BO9" s="11">
        <v>26.4</v>
      </c>
      <c r="BP9" s="11">
        <v>6.11</v>
      </c>
      <c r="BR9" s="11">
        <v>7.37</v>
      </c>
      <c r="BS9" s="11">
        <v>3.4</v>
      </c>
      <c r="BU9" s="11">
        <v>65.97</v>
      </c>
      <c r="BV9" s="11">
        <v>11.55</v>
      </c>
      <c r="BW9" s="11">
        <v>2.27</v>
      </c>
      <c r="BX9" s="11">
        <v>1.9</v>
      </c>
      <c r="BY9" s="11">
        <v>5.07</v>
      </c>
      <c r="BZ9" s="11">
        <v>6.79</v>
      </c>
      <c r="CA9" s="11">
        <v>93.26</v>
      </c>
      <c r="CD9" s="11">
        <v>3.96</v>
      </c>
      <c r="CF9" s="11">
        <v>19.96</v>
      </c>
      <c r="CG9" s="11">
        <v>-11.98</v>
      </c>
      <c r="CI9" s="11">
        <v>11.54</v>
      </c>
      <c r="CK9" s="11">
        <v>3.56</v>
      </c>
      <c r="CL9" s="11">
        <v>1.22</v>
      </c>
      <c r="CN9" s="11">
        <v>4.05</v>
      </c>
      <c r="CO9" s="11">
        <v>21.12</v>
      </c>
      <c r="CP9" s="11">
        <v>1961.83</v>
      </c>
      <c r="CQ9" s="11">
        <v>4.04</v>
      </c>
      <c r="CR9" s="11">
        <v>8.31</v>
      </c>
      <c r="CS9" s="11">
        <v>2.4700000000000002</v>
      </c>
      <c r="CT9" s="11">
        <v>10.87</v>
      </c>
      <c r="CU9" s="11">
        <v>6.62</v>
      </c>
      <c r="CW9" s="11">
        <v>5.46</v>
      </c>
      <c r="CX9" s="11">
        <v>5.0199999999999996</v>
      </c>
      <c r="CY9" s="11">
        <v>3.82</v>
      </c>
      <c r="CZ9" s="11">
        <v>9.16</v>
      </c>
      <c r="DA9" s="11">
        <v>3.32</v>
      </c>
      <c r="DB9" s="11">
        <v>4.59</v>
      </c>
      <c r="DC9" s="11">
        <v>4.8600000000000003</v>
      </c>
      <c r="DD9" s="11">
        <v>1.1100000000000001</v>
      </c>
      <c r="DE9" s="11">
        <v>1.1599999999999999</v>
      </c>
      <c r="DF9" s="11">
        <v>2.25</v>
      </c>
      <c r="DG9" s="11">
        <v>8.61</v>
      </c>
      <c r="DH9" s="11">
        <v>10.38</v>
      </c>
      <c r="DI9" s="11">
        <v>0.14000000000000001</v>
      </c>
      <c r="DJ9" s="11">
        <v>8.9</v>
      </c>
      <c r="DM9" s="11">
        <v>9.6</v>
      </c>
      <c r="DN9" s="11">
        <v>4.07</v>
      </c>
      <c r="DO9" s="11">
        <v>14.34</v>
      </c>
      <c r="DP9" s="11">
        <v>6.01</v>
      </c>
      <c r="DQ9" s="11">
        <v>7.69</v>
      </c>
      <c r="DS9" s="11">
        <v>17.05</v>
      </c>
      <c r="DT9" s="11">
        <v>2.91</v>
      </c>
      <c r="DU9" s="11">
        <v>4.0999999999999996</v>
      </c>
      <c r="DV9" s="11">
        <v>6.16</v>
      </c>
      <c r="DX9" s="11">
        <v>9.3800000000000008</v>
      </c>
      <c r="EA9" s="11">
        <v>8.8000000000000007</v>
      </c>
      <c r="EB9" s="11">
        <v>5.3</v>
      </c>
      <c r="EC9" s="11">
        <v>5.13</v>
      </c>
      <c r="EF9" s="11">
        <v>3.68</v>
      </c>
      <c r="EG9" s="11">
        <v>-0.3</v>
      </c>
      <c r="EH9" s="11">
        <v>3.48</v>
      </c>
      <c r="EI9" s="11">
        <v>8.1</v>
      </c>
      <c r="EJ9" s="11">
        <v>-1.2</v>
      </c>
      <c r="EL9" s="11">
        <v>7.09</v>
      </c>
      <c r="EM9" s="11">
        <v>3.38</v>
      </c>
      <c r="EN9" s="11">
        <v>6.35</v>
      </c>
      <c r="EO9" s="11">
        <v>-1.2</v>
      </c>
      <c r="EQ9" s="11">
        <v>3.34</v>
      </c>
      <c r="EZ9" s="11">
        <v>1.53</v>
      </c>
      <c r="FA9" s="16">
        <v>16.52</v>
      </c>
      <c r="FB9" s="11">
        <v>1.62</v>
      </c>
      <c r="FC9" s="11">
        <v>1.71</v>
      </c>
      <c r="FE9" s="11">
        <v>2.91</v>
      </c>
      <c r="FG9" s="11">
        <v>0.52</v>
      </c>
      <c r="FH9" s="11">
        <v>-50.14</v>
      </c>
      <c r="FI9" s="11">
        <v>135.19</v>
      </c>
      <c r="FJ9" s="11">
        <v>0.75</v>
      </c>
      <c r="FK9" s="11">
        <v>217.91</v>
      </c>
      <c r="FL9" s="11">
        <v>413.99</v>
      </c>
      <c r="FN9" s="11">
        <v>1.03</v>
      </c>
      <c r="FO9" s="16">
        <v>7.29</v>
      </c>
      <c r="FP9" s="11">
        <v>15.3</v>
      </c>
      <c r="FQ9" s="11">
        <v>4.03</v>
      </c>
      <c r="FR9" s="11">
        <v>2.29</v>
      </c>
      <c r="FS9" s="11">
        <v>1.1599999999999999</v>
      </c>
      <c r="FT9" s="11">
        <v>1.72</v>
      </c>
      <c r="FU9" s="11">
        <v>1.37</v>
      </c>
      <c r="FV9" s="11">
        <v>0.94</v>
      </c>
      <c r="FW9" s="11">
        <v>1.94</v>
      </c>
      <c r="FX9" s="11">
        <v>1.26</v>
      </c>
      <c r="FY9" s="11">
        <v>0.2</v>
      </c>
      <c r="FZ9" s="11">
        <v>0.97</v>
      </c>
      <c r="GA9" s="11">
        <v>0.51</v>
      </c>
      <c r="GB9" s="11">
        <v>2.4900000000000002</v>
      </c>
      <c r="GC9" s="11">
        <v>1.04</v>
      </c>
      <c r="GD9" s="16">
        <v>2.2200000000000002</v>
      </c>
      <c r="GE9" s="11">
        <v>0.09</v>
      </c>
      <c r="GF9" s="11">
        <v>0.23</v>
      </c>
      <c r="GG9" s="11">
        <v>0.75</v>
      </c>
      <c r="GH9" s="11">
        <v>1.28</v>
      </c>
      <c r="GI9" s="11">
        <v>0.24</v>
      </c>
      <c r="GJ9" s="16">
        <v>3.66</v>
      </c>
      <c r="GK9" s="11">
        <v>159.18</v>
      </c>
      <c r="GL9" s="11">
        <v>2.0299999999999998</v>
      </c>
      <c r="GM9" s="11">
        <v>2.39</v>
      </c>
      <c r="GN9" s="11">
        <v>1.35</v>
      </c>
      <c r="GO9" s="11">
        <v>0.81</v>
      </c>
      <c r="GP9" s="11">
        <v>4.49</v>
      </c>
      <c r="GQ9" s="11">
        <v>0.67</v>
      </c>
      <c r="GR9" s="11">
        <v>1017.68</v>
      </c>
      <c r="GS9" s="11">
        <v>1.46</v>
      </c>
      <c r="HB9" s="11">
        <v>0.6</v>
      </c>
      <c r="HC9" s="11">
        <v>73.260000000000005</v>
      </c>
      <c r="HD9" s="11">
        <v>1.89</v>
      </c>
      <c r="HE9" s="11">
        <v>5.08</v>
      </c>
      <c r="HF9" s="11">
        <v>1.41</v>
      </c>
      <c r="HG9" s="11">
        <v>-1.6</v>
      </c>
      <c r="HH9" s="11">
        <v>0.39600000000000002</v>
      </c>
      <c r="HI9" s="11">
        <v>6.2160000000000002</v>
      </c>
      <c r="HK9" s="11">
        <v>0.104</v>
      </c>
      <c r="HL9" s="11">
        <v>0.74199999999999999</v>
      </c>
      <c r="HM9" s="11">
        <v>1.95</v>
      </c>
      <c r="HN9" s="11">
        <v>4.6319999999999997</v>
      </c>
      <c r="HO9" s="11">
        <v>0.497</v>
      </c>
      <c r="HP9" s="11">
        <v>1.3959999999999999</v>
      </c>
      <c r="HQ9" s="11">
        <v>4.8000000000000001E-2</v>
      </c>
      <c r="HR9" s="11">
        <v>0.5827</v>
      </c>
      <c r="HS9" s="11">
        <v>9.0999999999999998E-2</v>
      </c>
      <c r="HT9" s="11">
        <v>1.3420000000000001</v>
      </c>
      <c r="HU9" s="11">
        <v>0.55300000000000005</v>
      </c>
      <c r="HV9" s="11">
        <v>0.97699999999999998</v>
      </c>
      <c r="HW9" s="11">
        <v>96.676000000000002</v>
      </c>
      <c r="HX9" s="11">
        <v>8.9710000000000001</v>
      </c>
      <c r="HY9" s="11">
        <v>4.0149999999999997</v>
      </c>
    </row>
    <row r="10" spans="1:233" x14ac:dyDescent="0.5">
      <c r="A10" s="13" t="s">
        <v>8</v>
      </c>
      <c r="B10" s="3">
        <v>0.48</v>
      </c>
      <c r="C10" s="16">
        <v>24.3</v>
      </c>
      <c r="D10" s="16">
        <v>0.27</v>
      </c>
      <c r="E10" s="16">
        <v>0.37</v>
      </c>
      <c r="F10" s="16">
        <v>0.16</v>
      </c>
      <c r="G10" s="16">
        <v>0.2</v>
      </c>
      <c r="H10" s="16">
        <v>0.25</v>
      </c>
      <c r="I10" s="16">
        <v>10.69</v>
      </c>
      <c r="J10" s="16">
        <v>12.07</v>
      </c>
      <c r="K10" s="27">
        <v>14.78</v>
      </c>
      <c r="L10" s="16">
        <v>4.72</v>
      </c>
      <c r="M10" s="16">
        <v>7.43</v>
      </c>
      <c r="N10" s="16">
        <v>2.52</v>
      </c>
      <c r="O10" s="11">
        <v>3.33</v>
      </c>
      <c r="P10" s="11">
        <v>25.93</v>
      </c>
      <c r="Q10" s="11">
        <v>2.16</v>
      </c>
      <c r="R10" s="11">
        <v>2.72</v>
      </c>
      <c r="S10" s="11">
        <v>0.89</v>
      </c>
      <c r="T10" s="11">
        <v>7.97</v>
      </c>
      <c r="U10" s="11">
        <v>2.85</v>
      </c>
      <c r="V10" s="11">
        <v>1.92</v>
      </c>
      <c r="W10" s="11">
        <v>0.9</v>
      </c>
      <c r="X10" s="11">
        <v>4.22</v>
      </c>
      <c r="Y10" s="11">
        <v>0.42</v>
      </c>
      <c r="Z10" s="11">
        <v>2.38</v>
      </c>
      <c r="AA10" s="11">
        <v>0.39</v>
      </c>
      <c r="AB10" s="16">
        <v>1.1299999999999999</v>
      </c>
      <c r="AC10" s="11">
        <v>2.41</v>
      </c>
      <c r="AD10" s="11">
        <v>0.44</v>
      </c>
      <c r="AE10" s="11">
        <v>7.3</v>
      </c>
      <c r="AF10" s="16">
        <v>1.77</v>
      </c>
      <c r="AG10" s="11">
        <v>1.63</v>
      </c>
      <c r="AH10" s="16">
        <v>2.23</v>
      </c>
      <c r="AI10" s="11">
        <v>1</v>
      </c>
      <c r="AJ10" s="11">
        <v>2.34</v>
      </c>
      <c r="AK10" s="11">
        <v>1.05</v>
      </c>
      <c r="AL10" s="11">
        <v>2.0299999999999998</v>
      </c>
      <c r="AM10" s="11">
        <v>4.3</v>
      </c>
      <c r="AN10" s="11">
        <v>1.1599999999999999</v>
      </c>
      <c r="AO10" s="11">
        <v>0.93</v>
      </c>
      <c r="AP10" s="11">
        <v>0.91</v>
      </c>
      <c r="AQ10" s="11">
        <v>3.94</v>
      </c>
      <c r="AR10" s="11">
        <v>3.14</v>
      </c>
      <c r="AS10" s="11">
        <v>0.47</v>
      </c>
      <c r="AT10" s="11">
        <v>13.03</v>
      </c>
      <c r="AU10" s="11">
        <v>1.34</v>
      </c>
      <c r="AV10" s="11">
        <v>1.55</v>
      </c>
      <c r="AW10" s="11">
        <v>1.59</v>
      </c>
      <c r="AX10" s="11">
        <v>0.69</v>
      </c>
      <c r="AY10" s="11">
        <v>0.31</v>
      </c>
      <c r="AZ10" s="11">
        <v>1.56</v>
      </c>
      <c r="BA10" s="11">
        <v>1.1200000000000001</v>
      </c>
      <c r="BB10" s="11">
        <v>0.95</v>
      </c>
      <c r="BC10" s="11">
        <v>1.07</v>
      </c>
      <c r="BD10" s="11">
        <v>0.8</v>
      </c>
      <c r="BE10" s="35">
        <v>1.26</v>
      </c>
      <c r="BF10" s="11">
        <v>0.91</v>
      </c>
      <c r="BG10" s="11">
        <v>0.76</v>
      </c>
      <c r="BH10" s="11">
        <v>1.06</v>
      </c>
      <c r="BI10" s="11">
        <v>0.13</v>
      </c>
      <c r="BJ10" s="11">
        <v>4.7699999999999996</v>
      </c>
      <c r="BK10" s="16">
        <v>2.04</v>
      </c>
      <c r="BL10" s="16">
        <v>0.28000000000000003</v>
      </c>
      <c r="BM10" s="11">
        <v>0.68</v>
      </c>
      <c r="BN10" s="11">
        <v>1.74</v>
      </c>
      <c r="BO10" s="11">
        <v>5.81</v>
      </c>
      <c r="BP10" s="11">
        <v>0.37</v>
      </c>
      <c r="BQ10" s="11">
        <v>2.48</v>
      </c>
      <c r="BR10" s="11">
        <v>0.71</v>
      </c>
      <c r="BS10" s="11">
        <v>0.34</v>
      </c>
      <c r="BT10" s="11">
        <v>1.4</v>
      </c>
      <c r="BU10" s="11">
        <v>4.4400000000000004</v>
      </c>
      <c r="BV10" s="11">
        <v>1.8</v>
      </c>
      <c r="BW10" s="11">
        <v>0.35</v>
      </c>
      <c r="BX10" s="11">
        <v>1.3</v>
      </c>
      <c r="BY10" s="11">
        <v>0.47</v>
      </c>
      <c r="BZ10" s="11">
        <v>1.37</v>
      </c>
      <c r="CA10" s="11">
        <v>1.42</v>
      </c>
      <c r="CB10" s="11">
        <v>1.79</v>
      </c>
      <c r="CC10" s="11">
        <v>1.23</v>
      </c>
      <c r="CD10" s="11">
        <v>0.21</v>
      </c>
      <c r="CE10" s="11">
        <v>0.16</v>
      </c>
      <c r="CF10" s="11">
        <v>7.09</v>
      </c>
      <c r="CG10" s="11">
        <v>2.08</v>
      </c>
      <c r="CH10" s="11">
        <v>1.82</v>
      </c>
      <c r="CI10" s="11">
        <v>0.54</v>
      </c>
      <c r="CJ10" s="11">
        <v>11.42</v>
      </c>
      <c r="CK10" s="11">
        <v>1.22</v>
      </c>
      <c r="CL10" s="11">
        <v>0.21</v>
      </c>
      <c r="CM10" s="11">
        <v>15.34</v>
      </c>
      <c r="CN10" s="11">
        <v>1.26</v>
      </c>
      <c r="CO10" s="11">
        <v>4.22</v>
      </c>
      <c r="CP10" s="11">
        <v>6</v>
      </c>
      <c r="CQ10" s="11">
        <v>1.1100000000000001</v>
      </c>
      <c r="CR10" s="11">
        <v>0.03</v>
      </c>
      <c r="CS10" s="11">
        <v>0.27</v>
      </c>
      <c r="CT10" s="11">
        <v>0.62</v>
      </c>
      <c r="CU10" s="11">
        <v>2.4500000000000002</v>
      </c>
      <c r="CV10" s="11">
        <v>14.82</v>
      </c>
      <c r="CW10" s="11">
        <v>0.3</v>
      </c>
      <c r="CX10" s="11">
        <v>0.71</v>
      </c>
      <c r="CY10" s="11">
        <v>1.48</v>
      </c>
      <c r="CZ10" s="11">
        <v>1.24</v>
      </c>
      <c r="DA10" s="11">
        <v>0.39</v>
      </c>
      <c r="DB10" s="11">
        <v>0.23</v>
      </c>
      <c r="DC10" s="11">
        <v>0.67</v>
      </c>
      <c r="DD10" s="11">
        <v>0.25</v>
      </c>
      <c r="DE10" s="11">
        <v>0.9</v>
      </c>
      <c r="DF10" s="11">
        <v>1.1399999999999999</v>
      </c>
      <c r="DG10" s="11">
        <v>0.05</v>
      </c>
      <c r="DH10" s="11">
        <v>5.69</v>
      </c>
      <c r="DI10" s="11">
        <v>0.08</v>
      </c>
      <c r="DJ10" s="11">
        <v>5.08</v>
      </c>
      <c r="DK10" s="11">
        <v>0.63</v>
      </c>
      <c r="DL10" s="11">
        <v>1.71</v>
      </c>
      <c r="DM10" s="11">
        <v>0.42</v>
      </c>
      <c r="DN10" s="11">
        <v>0.38</v>
      </c>
      <c r="DO10" s="11">
        <v>2.17</v>
      </c>
      <c r="DP10" s="11">
        <v>0.59</v>
      </c>
      <c r="DQ10" s="11">
        <v>0.56000000000000005</v>
      </c>
      <c r="DR10" s="11">
        <v>0.69</v>
      </c>
      <c r="DS10" s="11">
        <v>0.59</v>
      </c>
      <c r="DT10" s="11">
        <v>0.21</v>
      </c>
      <c r="DU10" s="11">
        <v>0.27</v>
      </c>
      <c r="DV10" s="11">
        <v>0.63</v>
      </c>
      <c r="DW10" s="11">
        <v>1.95</v>
      </c>
      <c r="DX10" s="11">
        <v>1.22</v>
      </c>
      <c r="DY10" s="11">
        <v>3.17</v>
      </c>
      <c r="DZ10" s="11">
        <v>0.95</v>
      </c>
      <c r="EA10" s="11">
        <v>2.19</v>
      </c>
      <c r="EB10" s="11">
        <v>1.28</v>
      </c>
      <c r="EC10" s="11">
        <v>1.62</v>
      </c>
      <c r="ED10" s="11">
        <v>5.76</v>
      </c>
      <c r="EE10" s="11">
        <v>0.39</v>
      </c>
      <c r="EF10" s="11">
        <v>0.49</v>
      </c>
      <c r="EG10" s="11">
        <v>0.31</v>
      </c>
      <c r="EH10" s="11">
        <v>0.81</v>
      </c>
      <c r="EI10" s="11">
        <v>0.23</v>
      </c>
      <c r="EJ10" s="11">
        <v>2.29</v>
      </c>
      <c r="EK10" s="11">
        <v>0.89</v>
      </c>
      <c r="EL10" s="11">
        <v>1.24</v>
      </c>
      <c r="EM10" s="11">
        <v>0.13</v>
      </c>
      <c r="EN10" s="11">
        <v>0.12</v>
      </c>
      <c r="EO10" s="11">
        <v>2.29</v>
      </c>
      <c r="EQ10" s="11">
        <v>0.25</v>
      </c>
      <c r="EZ10" s="11">
        <v>0.86</v>
      </c>
      <c r="FA10" s="16">
        <v>12.89</v>
      </c>
      <c r="FB10" s="11">
        <v>1.44</v>
      </c>
      <c r="FC10" s="11">
        <v>1.71</v>
      </c>
      <c r="FD10" s="11">
        <v>2.82</v>
      </c>
      <c r="FE10" s="11">
        <v>1.31</v>
      </c>
      <c r="FF10" s="11">
        <v>1.21</v>
      </c>
      <c r="FG10" s="11">
        <v>0.15</v>
      </c>
      <c r="FH10" s="11">
        <v>4.34</v>
      </c>
      <c r="FI10" s="11">
        <v>0.24</v>
      </c>
      <c r="FJ10" s="11">
        <v>0.54</v>
      </c>
      <c r="FK10" s="11">
        <v>0.6</v>
      </c>
      <c r="FL10" s="11">
        <v>1.72</v>
      </c>
      <c r="FM10" s="11">
        <v>0.26</v>
      </c>
      <c r="FN10" s="11">
        <v>0.4</v>
      </c>
      <c r="FO10" s="16">
        <v>1.08</v>
      </c>
      <c r="FP10" s="11">
        <v>2.04</v>
      </c>
      <c r="FQ10" s="11">
        <v>0.59</v>
      </c>
      <c r="FR10" s="11">
        <v>0.43</v>
      </c>
      <c r="FS10" s="11">
        <v>0.86</v>
      </c>
      <c r="FT10" s="11">
        <v>1.22</v>
      </c>
      <c r="FU10" s="11">
        <v>0.38</v>
      </c>
      <c r="FV10" s="11">
        <v>0.35</v>
      </c>
      <c r="FW10" s="11">
        <v>0.34</v>
      </c>
      <c r="FX10" s="11">
        <v>1.83</v>
      </c>
      <c r="FY10" s="11">
        <v>0.18</v>
      </c>
      <c r="FZ10" s="11">
        <v>0.43</v>
      </c>
      <c r="GA10" s="11">
        <v>0.19</v>
      </c>
      <c r="GB10" s="11">
        <v>0.62</v>
      </c>
      <c r="GC10" s="11">
        <v>0.36</v>
      </c>
      <c r="GD10" s="16">
        <v>1.21</v>
      </c>
      <c r="GE10" s="11">
        <v>0.17</v>
      </c>
      <c r="GF10" s="11">
        <v>0.17</v>
      </c>
      <c r="GG10" s="11">
        <v>0.34</v>
      </c>
      <c r="GH10" s="11">
        <v>0.4</v>
      </c>
      <c r="GI10" s="11">
        <v>0.35</v>
      </c>
      <c r="GJ10" s="16">
        <v>0.5</v>
      </c>
      <c r="GK10" s="11">
        <v>60.32</v>
      </c>
      <c r="GL10" s="11">
        <v>0.27</v>
      </c>
      <c r="GM10" s="11">
        <v>0.27</v>
      </c>
      <c r="GN10" s="11">
        <v>0.4</v>
      </c>
      <c r="GO10" s="11">
        <v>0.16</v>
      </c>
      <c r="GP10" s="11">
        <v>0.33</v>
      </c>
      <c r="GQ10" s="11">
        <v>0.45</v>
      </c>
      <c r="GR10" s="11">
        <v>1.58</v>
      </c>
      <c r="GS10" s="11">
        <v>0.26</v>
      </c>
      <c r="HB10" s="11">
        <v>0.14000000000000001</v>
      </c>
      <c r="HC10" s="11">
        <v>12.1</v>
      </c>
      <c r="HD10" s="11">
        <v>0.38200000000000001</v>
      </c>
      <c r="HE10" s="11">
        <v>0.46</v>
      </c>
      <c r="HF10" s="11">
        <v>0.85899999999999999</v>
      </c>
      <c r="HG10" s="11">
        <v>0.71899999999999997</v>
      </c>
      <c r="HH10" s="11">
        <v>0.152</v>
      </c>
      <c r="HI10" s="11">
        <v>1.25</v>
      </c>
      <c r="HK10" s="11">
        <v>3.5799999999999998E-2</v>
      </c>
      <c r="HL10" s="11">
        <v>0.14099999999999999</v>
      </c>
      <c r="HM10" s="11">
        <v>0.86</v>
      </c>
      <c r="HN10" s="11">
        <v>1.23</v>
      </c>
      <c r="HO10" s="11">
        <v>6.7000000000000004E-2</v>
      </c>
      <c r="HP10" s="11">
        <v>0.874</v>
      </c>
      <c r="HQ10" s="11">
        <v>3.56E-2</v>
      </c>
      <c r="HR10" s="11">
        <v>5.3600000000000002E-2</v>
      </c>
      <c r="HS10" s="11">
        <v>3.5880000000000002E-2</v>
      </c>
      <c r="HT10" s="11">
        <v>0.17150000000000001</v>
      </c>
      <c r="HU10" s="11">
        <v>0.156</v>
      </c>
      <c r="HV10" s="11">
        <v>1.06</v>
      </c>
      <c r="HW10" s="11">
        <v>24.3</v>
      </c>
      <c r="HX10" s="11">
        <v>0.38500000000000001</v>
      </c>
      <c r="HY10" s="11">
        <v>0.13059999999999999</v>
      </c>
    </row>
    <row r="11" spans="1:233" x14ac:dyDescent="0.5">
      <c r="A11" s="5" t="s">
        <v>9</v>
      </c>
      <c r="B11" s="6">
        <f>IF(B10="","",+B9/B10)</f>
        <v>-425.125</v>
      </c>
      <c r="C11" s="6">
        <f t="shared" ref="C11:BN11" si="17">IF(C10="","",+C9/C10)</f>
        <v>3.9781893004115227</v>
      </c>
      <c r="D11" s="6">
        <f t="shared" si="17"/>
        <v>-4.1851851851851842</v>
      </c>
      <c r="E11" s="6">
        <f t="shared" si="17"/>
        <v>-1.8378378378378379</v>
      </c>
      <c r="F11" s="6">
        <f t="shared" si="17"/>
        <v>-0.9375</v>
      </c>
      <c r="G11" s="6">
        <f t="shared" si="17"/>
        <v>-9.6850000000000006E-2</v>
      </c>
      <c r="H11" s="6">
        <f t="shared" si="17"/>
        <v>-8.56</v>
      </c>
      <c r="I11" s="6">
        <f t="shared" si="17"/>
        <v>0.9878391019644529</v>
      </c>
      <c r="J11" s="6">
        <f t="shared" si="17"/>
        <v>6.0936205468102731</v>
      </c>
      <c r="K11" s="6">
        <f t="shared" si="17"/>
        <v>6.6826792963464143</v>
      </c>
      <c r="L11" s="6">
        <f t="shared" si="17"/>
        <v>5.281779661016949</v>
      </c>
      <c r="M11" s="6">
        <f t="shared" si="17"/>
        <v>10.500672947510093</v>
      </c>
      <c r="N11" s="6">
        <f t="shared" si="17"/>
        <v>17.793650793650794</v>
      </c>
      <c r="O11" s="6">
        <f t="shared" si="17"/>
        <v>2.0510510510510511</v>
      </c>
      <c r="P11" s="6">
        <f t="shared" si="17"/>
        <v>34.408021596606247</v>
      </c>
      <c r="Q11" s="6">
        <f t="shared" si="17"/>
        <v>8.9490740740740726</v>
      </c>
      <c r="R11" s="6">
        <f t="shared" si="17"/>
        <v>0</v>
      </c>
      <c r="S11" s="6">
        <f t="shared" si="17"/>
        <v>10.415730337078651</v>
      </c>
      <c r="T11" s="6">
        <f t="shared" si="17"/>
        <v>1.7252195734002509</v>
      </c>
      <c r="U11" s="6">
        <f t="shared" si="17"/>
        <v>-2.0631578947368419</v>
      </c>
      <c r="V11" s="6">
        <f t="shared" si="17"/>
        <v>11.239583333333332</v>
      </c>
      <c r="W11" s="6">
        <f t="shared" si="17"/>
        <v>18.888888888888889</v>
      </c>
      <c r="X11" s="6">
        <f t="shared" si="17"/>
        <v>5.6327014218009479</v>
      </c>
      <c r="Y11" s="6">
        <f t="shared" si="17"/>
        <v>21.357142857142861</v>
      </c>
      <c r="Z11" s="6">
        <f t="shared" si="17"/>
        <v>0.75210084033613456</v>
      </c>
      <c r="AA11" s="6">
        <f t="shared" si="17"/>
        <v>22.974358974358974</v>
      </c>
      <c r="AB11" s="6">
        <f t="shared" si="17"/>
        <v>9.0973451327433636</v>
      </c>
      <c r="AC11" s="6">
        <f t="shared" si="17"/>
        <v>8.1327800829875514</v>
      </c>
      <c r="AD11" s="6">
        <f t="shared" si="17"/>
        <v>17.818181818181817</v>
      </c>
      <c r="AE11" s="6">
        <f t="shared" si="17"/>
        <v>0</v>
      </c>
      <c r="AF11" s="6">
        <f t="shared" si="17"/>
        <v>11.118644067796611</v>
      </c>
      <c r="AG11" s="6">
        <f t="shared" si="17"/>
        <v>3.3435582822085892</v>
      </c>
      <c r="AH11" s="6">
        <f t="shared" si="17"/>
        <v>11.614349775784753</v>
      </c>
      <c r="AI11" s="6">
        <f t="shared" si="17"/>
        <v>14.23</v>
      </c>
      <c r="AJ11" s="6">
        <f t="shared" si="17"/>
        <v>6.384615384615385</v>
      </c>
      <c r="AK11" s="6">
        <f t="shared" si="17"/>
        <v>6.1333333333333337</v>
      </c>
      <c r="AL11" s="6">
        <f t="shared" si="17"/>
        <v>7.6059113300492616</v>
      </c>
      <c r="AM11" s="6">
        <f t="shared" si="17"/>
        <v>1.2953488372093025</v>
      </c>
      <c r="AN11" s="6">
        <f t="shared" si="17"/>
        <v>5.5689655172413799</v>
      </c>
      <c r="AO11" s="6">
        <f t="shared" si="17"/>
        <v>13.408602150537634</v>
      </c>
      <c r="AP11" s="6">
        <f t="shared" si="17"/>
        <v>19.087912087912088</v>
      </c>
      <c r="AQ11" s="6">
        <f t="shared" si="17"/>
        <v>3.3730964467005076</v>
      </c>
      <c r="AR11" s="6">
        <f t="shared" si="17"/>
        <v>0</v>
      </c>
      <c r="AS11" s="6">
        <f t="shared" si="17"/>
        <v>16.085106382978722</v>
      </c>
      <c r="AT11" s="6">
        <f t="shared" si="17"/>
        <v>26.832693783576364</v>
      </c>
      <c r="AU11" s="6">
        <f t="shared" si="17"/>
        <v>3.9104477611940296</v>
      </c>
      <c r="AV11" s="6">
        <f t="shared" si="17"/>
        <v>8.1677419354838712</v>
      </c>
      <c r="AW11" s="6">
        <f t="shared" si="17"/>
        <v>0</v>
      </c>
      <c r="AX11" s="6">
        <f t="shared" si="17"/>
        <v>27.449275362318843</v>
      </c>
      <c r="AY11" s="6">
        <f t="shared" si="17"/>
        <v>50.87096774193548</v>
      </c>
      <c r="AZ11" s="6">
        <f t="shared" si="17"/>
        <v>6.4871794871794863</v>
      </c>
      <c r="BA11" s="6">
        <f t="shared" si="17"/>
        <v>15.312499999999996</v>
      </c>
      <c r="BB11" s="6">
        <f t="shared" si="17"/>
        <v>13.157894736842106</v>
      </c>
      <c r="BC11" s="6">
        <f t="shared" si="17"/>
        <v>11.981308411214952</v>
      </c>
      <c r="BD11" s="32">
        <f t="shared" si="17"/>
        <v>7.2750000000000004</v>
      </c>
      <c r="BE11" s="6">
        <f t="shared" si="17"/>
        <v>4.4047619047619042</v>
      </c>
      <c r="BF11" s="37">
        <f t="shared" si="17"/>
        <v>2.3076923076923079</v>
      </c>
      <c r="BG11" s="6">
        <f t="shared" si="17"/>
        <v>-8.3552631578947363</v>
      </c>
      <c r="BH11" s="6">
        <f t="shared" si="17"/>
        <v>1.0849056603773584</v>
      </c>
      <c r="BI11" s="6">
        <f t="shared" si="17"/>
        <v>29.76923076923077</v>
      </c>
      <c r="BJ11" s="32">
        <f t="shared" si="17"/>
        <v>-1.7651991614255766</v>
      </c>
      <c r="BK11" s="6">
        <f t="shared" si="17"/>
        <v>4.784313725490196</v>
      </c>
      <c r="BL11" s="6">
        <f t="shared" si="17"/>
        <v>21.857142857142854</v>
      </c>
      <c r="BM11" s="6">
        <f t="shared" si="17"/>
        <v>5.1029411764705879</v>
      </c>
      <c r="BN11" s="6">
        <f t="shared" si="17"/>
        <v>3.9712643678160919</v>
      </c>
      <c r="BO11" s="6">
        <f t="shared" ref="BO11:DZ11" si="18">IF(BO10="","",+BO9/BO10)</f>
        <v>4.5438898450946645</v>
      </c>
      <c r="BP11" s="6">
        <f t="shared" si="18"/>
        <v>16.513513513513516</v>
      </c>
      <c r="BQ11" s="6">
        <f t="shared" si="18"/>
        <v>0</v>
      </c>
      <c r="BR11" s="6">
        <f t="shared" si="18"/>
        <v>10.380281690140846</v>
      </c>
      <c r="BS11" s="6">
        <f t="shared" si="18"/>
        <v>9.9999999999999982</v>
      </c>
      <c r="BT11" s="6">
        <f t="shared" si="18"/>
        <v>0</v>
      </c>
      <c r="BU11" s="6">
        <f t="shared" si="18"/>
        <v>14.858108108108107</v>
      </c>
      <c r="BV11" s="6">
        <f t="shared" si="18"/>
        <v>6.416666666666667</v>
      </c>
      <c r="BW11" s="6">
        <f t="shared" si="18"/>
        <v>6.4857142857142858</v>
      </c>
      <c r="BX11" s="6">
        <f t="shared" si="18"/>
        <v>1.4615384615384615</v>
      </c>
      <c r="BY11" s="6">
        <f t="shared" si="18"/>
        <v>10.787234042553193</v>
      </c>
      <c r="BZ11" s="6">
        <f t="shared" si="18"/>
        <v>4.9562043795620436</v>
      </c>
      <c r="CA11" s="6">
        <f t="shared" si="18"/>
        <v>65.676056338028175</v>
      </c>
      <c r="CB11" s="6">
        <f t="shared" si="18"/>
        <v>0</v>
      </c>
      <c r="CC11" s="6">
        <f t="shared" si="18"/>
        <v>0</v>
      </c>
      <c r="CD11" s="6">
        <f t="shared" si="18"/>
        <v>18.857142857142858</v>
      </c>
      <c r="CE11" s="6">
        <f t="shared" si="18"/>
        <v>0</v>
      </c>
      <c r="CF11" s="6">
        <f t="shared" si="18"/>
        <v>2.8152327221438647</v>
      </c>
      <c r="CG11" s="6">
        <f t="shared" si="18"/>
        <v>-5.759615384615385</v>
      </c>
      <c r="CH11" s="6">
        <f t="shared" si="18"/>
        <v>0</v>
      </c>
      <c r="CI11" s="6">
        <f t="shared" si="18"/>
        <v>21.370370370370367</v>
      </c>
      <c r="CJ11" s="6">
        <f t="shared" si="18"/>
        <v>0</v>
      </c>
      <c r="CK11" s="6">
        <f t="shared" si="18"/>
        <v>2.918032786885246</v>
      </c>
      <c r="CL11" s="6">
        <f t="shared" si="18"/>
        <v>5.8095238095238093</v>
      </c>
      <c r="CM11" s="6">
        <f t="shared" si="18"/>
        <v>0</v>
      </c>
      <c r="CN11" s="6">
        <f t="shared" si="18"/>
        <v>3.214285714285714</v>
      </c>
      <c r="CO11" s="6">
        <f t="shared" si="18"/>
        <v>5.0047393364928912</v>
      </c>
      <c r="CP11" s="6">
        <f t="shared" si="18"/>
        <v>326.97166666666664</v>
      </c>
      <c r="CQ11" s="6">
        <f t="shared" si="18"/>
        <v>3.6396396396396393</v>
      </c>
      <c r="CR11" s="6">
        <f t="shared" si="18"/>
        <v>277</v>
      </c>
      <c r="CS11" s="6">
        <f t="shared" si="18"/>
        <v>9.1481481481481488</v>
      </c>
      <c r="CT11" s="6">
        <f t="shared" si="18"/>
        <v>17.532258064516128</v>
      </c>
      <c r="CU11" s="6">
        <f t="shared" si="18"/>
        <v>2.7020408163265306</v>
      </c>
      <c r="CV11" s="6">
        <f t="shared" si="18"/>
        <v>0</v>
      </c>
      <c r="CW11" s="6">
        <f t="shared" si="18"/>
        <v>18.2</v>
      </c>
      <c r="CX11" s="6">
        <f t="shared" si="18"/>
        <v>7.0704225352112671</v>
      </c>
      <c r="CY11" s="6">
        <f t="shared" si="18"/>
        <v>2.5810810810810811</v>
      </c>
      <c r="CZ11" s="6">
        <f t="shared" si="18"/>
        <v>7.3870967741935489</v>
      </c>
      <c r="DA11" s="6">
        <f t="shared" si="18"/>
        <v>8.5128205128205128</v>
      </c>
      <c r="DB11" s="6">
        <f t="shared" si="18"/>
        <v>19.956521739130434</v>
      </c>
      <c r="DC11" s="6">
        <f t="shared" si="18"/>
        <v>7.2537313432835822</v>
      </c>
      <c r="DD11" s="6">
        <f t="shared" si="18"/>
        <v>4.4400000000000004</v>
      </c>
      <c r="DE11" s="6">
        <f t="shared" si="18"/>
        <v>1.2888888888888888</v>
      </c>
      <c r="DF11" s="6">
        <f t="shared" si="18"/>
        <v>1.9736842105263159</v>
      </c>
      <c r="DG11" s="6">
        <f t="shared" si="18"/>
        <v>172.2</v>
      </c>
      <c r="DH11" s="6">
        <f t="shared" si="18"/>
        <v>1.8242530755711774</v>
      </c>
      <c r="DI11" s="6">
        <f t="shared" si="18"/>
        <v>1.7500000000000002</v>
      </c>
      <c r="DJ11" s="6">
        <f t="shared" si="18"/>
        <v>1.7519685039370079</v>
      </c>
      <c r="DK11" s="6">
        <f t="shared" si="18"/>
        <v>0</v>
      </c>
      <c r="DL11" s="6">
        <f t="shared" si="18"/>
        <v>0</v>
      </c>
      <c r="DM11" s="6">
        <f t="shared" si="18"/>
        <v>22.857142857142858</v>
      </c>
      <c r="DN11" s="6">
        <f t="shared" si="18"/>
        <v>10.710526315789474</v>
      </c>
      <c r="DO11" s="6">
        <f t="shared" si="18"/>
        <v>6.6082949308755765</v>
      </c>
      <c r="DP11" s="6">
        <f t="shared" si="18"/>
        <v>10.186440677966102</v>
      </c>
      <c r="DQ11" s="6">
        <f t="shared" si="18"/>
        <v>13.732142857142856</v>
      </c>
      <c r="DR11" s="6">
        <f t="shared" si="18"/>
        <v>0</v>
      </c>
      <c r="DS11" s="6">
        <f t="shared" si="18"/>
        <v>28.898305084745765</v>
      </c>
      <c r="DT11" s="6">
        <f t="shared" si="18"/>
        <v>13.857142857142858</v>
      </c>
      <c r="DU11" s="6">
        <f t="shared" si="18"/>
        <v>15.185185185185183</v>
      </c>
      <c r="DV11" s="6">
        <f t="shared" si="18"/>
        <v>9.7777777777777786</v>
      </c>
      <c r="DW11" s="6">
        <f t="shared" si="18"/>
        <v>0</v>
      </c>
      <c r="DX11" s="6">
        <f t="shared" si="18"/>
        <v>7.6885245901639356</v>
      </c>
      <c r="DY11" s="6">
        <f t="shared" si="18"/>
        <v>0</v>
      </c>
      <c r="DZ11" s="6">
        <f t="shared" si="18"/>
        <v>0</v>
      </c>
      <c r="EA11" s="6">
        <f t="shared" ref="EA11:GL11" si="19">IF(EA10="","",+EA9/EA10)</f>
        <v>4.0182648401826491</v>
      </c>
      <c r="EB11" s="6">
        <f t="shared" si="19"/>
        <v>4.140625</v>
      </c>
      <c r="EC11" s="6">
        <f t="shared" si="19"/>
        <v>3.1666666666666665</v>
      </c>
      <c r="ED11" s="6">
        <f t="shared" si="19"/>
        <v>0</v>
      </c>
      <c r="EE11" s="6">
        <f t="shared" si="19"/>
        <v>0</v>
      </c>
      <c r="EF11" s="6">
        <f t="shared" si="19"/>
        <v>7.5102040816326534</v>
      </c>
      <c r="EG11" s="6">
        <f t="shared" si="19"/>
        <v>-0.96774193548387089</v>
      </c>
      <c r="EH11" s="6">
        <f t="shared" si="19"/>
        <v>4.2962962962962958</v>
      </c>
      <c r="EI11" s="6">
        <f t="shared" si="19"/>
        <v>35.217391304347821</v>
      </c>
      <c r="EJ11" s="6">
        <f t="shared" si="19"/>
        <v>-0.5240174672489083</v>
      </c>
      <c r="EK11" s="6">
        <f t="shared" si="19"/>
        <v>0</v>
      </c>
      <c r="EL11" s="6">
        <f t="shared" si="19"/>
        <v>5.717741935483871</v>
      </c>
      <c r="EM11" s="6">
        <f t="shared" si="19"/>
        <v>26</v>
      </c>
      <c r="EN11" s="6">
        <f t="shared" si="19"/>
        <v>52.916666666666664</v>
      </c>
      <c r="EO11" s="6">
        <f t="shared" si="19"/>
        <v>-0.5240174672489083</v>
      </c>
      <c r="EP11" s="6" t="str">
        <f t="shared" si="19"/>
        <v/>
      </c>
      <c r="EQ11" s="6">
        <f t="shared" si="19"/>
        <v>13.36</v>
      </c>
      <c r="ER11" s="6" t="str">
        <f t="shared" si="19"/>
        <v/>
      </c>
      <c r="ES11" s="6" t="str">
        <f t="shared" si="19"/>
        <v/>
      </c>
      <c r="ET11" s="6" t="str">
        <f t="shared" si="19"/>
        <v/>
      </c>
      <c r="EU11" s="6" t="str">
        <f t="shared" si="19"/>
        <v/>
      </c>
      <c r="EV11" s="6" t="str">
        <f t="shared" si="19"/>
        <v/>
      </c>
      <c r="EW11" s="6" t="str">
        <f t="shared" si="19"/>
        <v/>
      </c>
      <c r="EX11" s="6" t="str">
        <f t="shared" si="19"/>
        <v/>
      </c>
      <c r="EY11" s="6" t="str">
        <f t="shared" si="19"/>
        <v/>
      </c>
      <c r="EZ11" s="32">
        <f t="shared" si="19"/>
        <v>1.7790697674418605</v>
      </c>
      <c r="FA11" s="6">
        <f t="shared" si="19"/>
        <v>1.2816136539953451</v>
      </c>
      <c r="FB11" s="6">
        <f t="shared" si="19"/>
        <v>1.1250000000000002</v>
      </c>
      <c r="FC11" s="6">
        <f t="shared" si="19"/>
        <v>1</v>
      </c>
      <c r="FD11" s="6">
        <f t="shared" si="19"/>
        <v>0</v>
      </c>
      <c r="FE11" s="6">
        <f t="shared" si="19"/>
        <v>2.2213740458015265</v>
      </c>
      <c r="FF11" s="6">
        <f t="shared" si="19"/>
        <v>0</v>
      </c>
      <c r="FG11" s="6">
        <f t="shared" si="19"/>
        <v>3.4666666666666668</v>
      </c>
      <c r="FH11" s="6">
        <f t="shared" si="19"/>
        <v>-11.552995391705069</v>
      </c>
      <c r="FI11" s="6">
        <f t="shared" si="19"/>
        <v>563.29166666666663</v>
      </c>
      <c r="FJ11" s="6">
        <f t="shared" si="19"/>
        <v>1.3888888888888888</v>
      </c>
      <c r="FK11" s="6">
        <f t="shared" si="19"/>
        <v>363.18333333333334</v>
      </c>
      <c r="FL11" s="6">
        <f t="shared" si="19"/>
        <v>240.69186046511629</v>
      </c>
      <c r="FM11" s="6">
        <f t="shared" si="19"/>
        <v>0</v>
      </c>
      <c r="FN11" s="32">
        <f t="shared" si="19"/>
        <v>2.5749999999999997</v>
      </c>
      <c r="FO11" s="6">
        <f t="shared" si="19"/>
        <v>6.75</v>
      </c>
      <c r="FP11" s="6">
        <f t="shared" si="19"/>
        <v>7.5</v>
      </c>
      <c r="FQ11" s="6">
        <f t="shared" si="19"/>
        <v>6.8305084745762716</v>
      </c>
      <c r="FR11" s="6">
        <f t="shared" si="19"/>
        <v>5.3255813953488378</v>
      </c>
      <c r="FS11" s="6">
        <f t="shared" si="19"/>
        <v>1.3488372093023255</v>
      </c>
      <c r="FT11" s="6">
        <f t="shared" si="19"/>
        <v>1.4098360655737705</v>
      </c>
      <c r="FU11" s="6">
        <f t="shared" si="19"/>
        <v>3.6052631578947372</v>
      </c>
      <c r="FV11" s="6">
        <f t="shared" si="19"/>
        <v>2.6857142857142859</v>
      </c>
      <c r="FW11" s="6">
        <f t="shared" si="19"/>
        <v>5.7058823529411757</v>
      </c>
      <c r="FX11" s="6">
        <f t="shared" si="19"/>
        <v>0.68852459016393441</v>
      </c>
      <c r="FY11" s="6">
        <f t="shared" si="19"/>
        <v>1.1111111111111112</v>
      </c>
      <c r="FZ11" s="6">
        <f t="shared" si="19"/>
        <v>2.2558139534883721</v>
      </c>
      <c r="GA11" s="6">
        <f t="shared" si="19"/>
        <v>2.6842105263157894</v>
      </c>
      <c r="GB11" s="6">
        <f t="shared" si="19"/>
        <v>4.0161290322580649</v>
      </c>
      <c r="GC11" s="6">
        <f t="shared" si="19"/>
        <v>2.8888888888888893</v>
      </c>
      <c r="GD11" s="6">
        <f t="shared" si="19"/>
        <v>1.834710743801653</v>
      </c>
      <c r="GE11" s="6">
        <f t="shared" si="19"/>
        <v>0.52941176470588225</v>
      </c>
      <c r="GF11" s="6">
        <f t="shared" si="19"/>
        <v>1.3529411764705881</v>
      </c>
      <c r="GG11" s="6">
        <f t="shared" si="19"/>
        <v>2.2058823529411762</v>
      </c>
      <c r="GH11" s="6">
        <f t="shared" si="19"/>
        <v>3.1999999999999997</v>
      </c>
      <c r="GI11" s="6">
        <f t="shared" si="19"/>
        <v>0.68571428571428572</v>
      </c>
      <c r="GJ11" s="6">
        <f t="shared" si="19"/>
        <v>7.32</v>
      </c>
      <c r="GK11" s="6">
        <f t="shared" si="19"/>
        <v>2.6389257294429709</v>
      </c>
      <c r="GL11" s="6">
        <f t="shared" si="19"/>
        <v>7.5185185185185173</v>
      </c>
      <c r="GM11" s="6">
        <f t="shared" ref="GM11:HY11" si="20">IF(GM10="","",+GM9/GM10)</f>
        <v>8.8518518518518512</v>
      </c>
      <c r="GN11" s="6">
        <f t="shared" si="20"/>
        <v>3.375</v>
      </c>
      <c r="GO11" s="6">
        <f t="shared" si="20"/>
        <v>5.0625</v>
      </c>
      <c r="GP11" s="6">
        <f t="shared" si="20"/>
        <v>13.606060606060606</v>
      </c>
      <c r="GQ11" s="6">
        <f t="shared" si="20"/>
        <v>1.4888888888888889</v>
      </c>
      <c r="GR11" s="6">
        <f t="shared" si="20"/>
        <v>644.10126582278474</v>
      </c>
      <c r="GS11" s="6">
        <f t="shared" si="20"/>
        <v>5.615384615384615</v>
      </c>
      <c r="GT11" s="6" t="str">
        <f t="shared" si="20"/>
        <v/>
      </c>
      <c r="GU11" s="6" t="str">
        <f t="shared" si="20"/>
        <v/>
      </c>
      <c r="GV11" s="6" t="str">
        <f t="shared" si="20"/>
        <v/>
      </c>
      <c r="GW11" s="6" t="str">
        <f t="shared" si="20"/>
        <v/>
      </c>
      <c r="GX11" s="6" t="str">
        <f t="shared" si="20"/>
        <v/>
      </c>
      <c r="GY11" s="6" t="str">
        <f t="shared" si="20"/>
        <v/>
      </c>
      <c r="GZ11" s="6" t="str">
        <f t="shared" si="20"/>
        <v/>
      </c>
      <c r="HA11" s="6" t="str">
        <f t="shared" si="20"/>
        <v/>
      </c>
      <c r="HB11" s="6">
        <f t="shared" si="20"/>
        <v>4.2857142857142856</v>
      </c>
      <c r="HC11" s="6">
        <f t="shared" si="20"/>
        <v>6.0545454545454556</v>
      </c>
      <c r="HD11" s="6">
        <f t="shared" si="20"/>
        <v>4.9476439790575917</v>
      </c>
      <c r="HE11" s="6">
        <f t="shared" si="20"/>
        <v>11.043478260869565</v>
      </c>
      <c r="HF11" s="6">
        <f t="shared" si="20"/>
        <v>1.6414435389988358</v>
      </c>
      <c r="HG11" s="6">
        <f t="shared" si="20"/>
        <v>-2.2253129346314329</v>
      </c>
      <c r="HH11" s="6">
        <f t="shared" si="20"/>
        <v>2.6052631578947372</v>
      </c>
      <c r="HI11" s="6">
        <f t="shared" si="20"/>
        <v>4.9728000000000003</v>
      </c>
      <c r="HJ11" s="6" t="str">
        <f t="shared" si="20"/>
        <v/>
      </c>
      <c r="HK11" s="6">
        <f t="shared" si="20"/>
        <v>2.9050279329608939</v>
      </c>
      <c r="HL11" s="6">
        <f t="shared" si="20"/>
        <v>5.2624113475177312</v>
      </c>
      <c r="HM11" s="6">
        <f t="shared" si="20"/>
        <v>2.2674418604651163</v>
      </c>
      <c r="HN11" s="6">
        <f t="shared" si="20"/>
        <v>3.7658536585365852</v>
      </c>
      <c r="HO11" s="6">
        <f t="shared" si="20"/>
        <v>7.4179104477611935</v>
      </c>
      <c r="HP11" s="6">
        <f t="shared" si="20"/>
        <v>1.597254004576659</v>
      </c>
      <c r="HQ11" s="6">
        <f t="shared" si="20"/>
        <v>1.348314606741573</v>
      </c>
      <c r="HR11" s="6">
        <f t="shared" si="20"/>
        <v>10.871268656716417</v>
      </c>
      <c r="HS11" s="6">
        <f t="shared" si="20"/>
        <v>2.5362318840579707</v>
      </c>
      <c r="HT11" s="6">
        <f t="shared" si="20"/>
        <v>7.8250728862973755</v>
      </c>
      <c r="HU11" s="6">
        <f t="shared" si="20"/>
        <v>3.5448717948717952</v>
      </c>
      <c r="HV11" s="6">
        <f t="shared" si="20"/>
        <v>0.92169811320754713</v>
      </c>
      <c r="HW11" s="6">
        <f t="shared" si="20"/>
        <v>3.9784362139917695</v>
      </c>
      <c r="HX11" s="6">
        <f t="shared" si="20"/>
        <v>23.301298701298702</v>
      </c>
      <c r="HY11" s="6">
        <f t="shared" si="20"/>
        <v>30.742725880551301</v>
      </c>
    </row>
    <row r="12" spans="1:233" x14ac:dyDescent="0.5">
      <c r="A12" s="5" t="s">
        <v>10</v>
      </c>
      <c r="B12" s="6">
        <f>IF(B11="","",B11/B3*100)</f>
        <v>-751.50256319604023</v>
      </c>
      <c r="C12" s="6">
        <f>IF(C11="","",C11/C3*100)</f>
        <v>2.4155621473140583</v>
      </c>
      <c r="D12" s="6">
        <f t="shared" ref="D12:AB12" si="21">IF(D11="","",D11/D3*100)</f>
        <v>-6.2812324556283734</v>
      </c>
      <c r="E12" s="6">
        <f t="shared" si="21"/>
        <v>-2.6236086193259642</v>
      </c>
      <c r="F12" s="6">
        <f t="shared" si="21"/>
        <v>-13.489208633093524</v>
      </c>
      <c r="G12" s="6">
        <f t="shared" si="21"/>
        <v>-2.3621951219512201</v>
      </c>
      <c r="H12" s="6">
        <f t="shared" si="21"/>
        <v>-7.7438031481816534</v>
      </c>
      <c r="I12" s="6">
        <f t="shared" si="21"/>
        <v>0.39621334107350109</v>
      </c>
      <c r="J12" s="6">
        <f t="shared" si="21"/>
        <v>2.1955828157419734</v>
      </c>
      <c r="K12" s="6">
        <f t="shared" si="21"/>
        <v>2.4803946612524732</v>
      </c>
      <c r="L12" s="6">
        <f t="shared" si="21"/>
        <v>1.4652074070730552</v>
      </c>
      <c r="M12" s="6">
        <f t="shared" si="21"/>
        <v>2.0455192261634543</v>
      </c>
      <c r="N12" s="6">
        <f t="shared" si="21"/>
        <v>2.7872696617507784</v>
      </c>
      <c r="O12" s="6">
        <f t="shared" si="21"/>
        <v>0.45996973628109955</v>
      </c>
      <c r="P12" s="6">
        <f t="shared" si="21"/>
        <v>11.896010785716445</v>
      </c>
      <c r="Q12" s="6">
        <f t="shared" si="21"/>
        <v>1.8146648350662111</v>
      </c>
      <c r="R12" s="6">
        <f t="shared" si="21"/>
        <v>0</v>
      </c>
      <c r="S12" s="6">
        <f t="shared" si="21"/>
        <v>1.1110823452251504</v>
      </c>
      <c r="T12" s="6">
        <f t="shared" si="21"/>
        <v>1.696714765342497</v>
      </c>
      <c r="U12" s="6">
        <f t="shared" si="21"/>
        <v>-0.84625016191010727</v>
      </c>
      <c r="V12" s="6">
        <f t="shared" si="21"/>
        <v>3.3355838477366255</v>
      </c>
      <c r="W12" s="6">
        <f t="shared" si="21"/>
        <v>3.4139836771415721</v>
      </c>
      <c r="X12" s="6">
        <f t="shared" si="21"/>
        <v>4.9193898880357629</v>
      </c>
      <c r="Y12" s="6">
        <f t="shared" si="21"/>
        <v>1.9468325880241801</v>
      </c>
      <c r="Z12" s="6">
        <f t="shared" si="21"/>
        <v>0.42964915186297314</v>
      </c>
      <c r="AA12" s="6">
        <f t="shared" si="21"/>
        <v>2.2322540783481322</v>
      </c>
      <c r="AB12" s="6">
        <f t="shared" si="21"/>
        <v>2.83945976239688</v>
      </c>
      <c r="AC12" s="6">
        <f t="shared" ref="AC12" si="22">IF(AC11="","",AC11/AC3*100)</f>
        <v>4.349778083643125</v>
      </c>
      <c r="AD12" s="6">
        <f t="shared" ref="AD12" si="23">IF(AD11="","",AD11/AD3*100)</f>
        <v>1.9083207653534626</v>
      </c>
      <c r="AE12" s="6">
        <f t="shared" ref="AE12" si="24">IF(AE11="","",AE11/AE3*100)</f>
        <v>0</v>
      </c>
      <c r="AF12" s="6">
        <f t="shared" ref="AF12" si="25">IF(AF11="","",AF11/AF3*100)</f>
        <v>5.1035729678677182</v>
      </c>
      <c r="AG12" s="6">
        <f t="shared" ref="AG12" si="26">IF(AG11="","",AG11/AG3*100)</f>
        <v>1.4561267669229985</v>
      </c>
      <c r="AH12" s="6">
        <f t="shared" ref="AH12" si="27">IF(AH11="","",AH11/AH3*100)</f>
        <v>7.1336832969625643</v>
      </c>
      <c r="AI12" s="6">
        <f t="shared" ref="AI12" si="28">IF(AI11="","",AI11/AI3*100)</f>
        <v>3.8259887613260561</v>
      </c>
      <c r="AJ12" s="6">
        <f t="shared" ref="AJ12" si="29">IF(AJ11="","",AJ11/AJ3*100)</f>
        <v>4.339143254461999</v>
      </c>
      <c r="AK12" s="6">
        <f t="shared" ref="AK12" si="30">IF(AK11="","",AK11/AK3*100)</f>
        <v>2.0438312950559281</v>
      </c>
      <c r="AL12" s="6">
        <f t="shared" ref="AL12" si="31">IF(AL11="","",AL11/AL3*100)</f>
        <v>4.889060442276314</v>
      </c>
      <c r="AM12" s="6">
        <f t="shared" ref="AM12" si="32">IF(AM11="","",AM11/AM3*100)</f>
        <v>1.8373742371763158</v>
      </c>
      <c r="AN12" s="6">
        <f t="shared" ref="AN12" si="33">IF(AN11="","",AN11/AN3*100)</f>
        <v>2.227586206896552</v>
      </c>
      <c r="AO12" s="6">
        <f t="shared" ref="AO12" si="34">IF(AO11="","",AO11/AO3*100)</f>
        <v>4.3956865166986736</v>
      </c>
      <c r="AP12" s="6">
        <f t="shared" ref="AP12" si="35">IF(AP11="","",AP11/AP3*100)</f>
        <v>6.0404785088329387</v>
      </c>
      <c r="AQ12" s="6">
        <f t="shared" ref="AQ12" si="36">IF(AQ11="","",AQ11/AQ3*100)</f>
        <v>4.7381604813885492</v>
      </c>
      <c r="AR12" s="6">
        <f t="shared" ref="AR12" si="37">IF(AR11="","",AR11/AR3*100)</f>
        <v>0</v>
      </c>
      <c r="AS12" s="6">
        <f t="shared" ref="AS12" si="38">IF(AS11="","",AS11/AS3*100)</f>
        <v>2.89853072097501</v>
      </c>
      <c r="AT12" s="6">
        <f t="shared" ref="AT12" si="39">IF(AT11="","",AT11/AT3*100)</f>
        <v>13.297994738614513</v>
      </c>
      <c r="AU12" s="6">
        <f t="shared" ref="AU12" si="40">IF(AU11="","",AU11/AU3*100)</f>
        <v>2.2296999436617799</v>
      </c>
      <c r="AV12" s="6">
        <f t="shared" ref="AV12" si="41">IF(AV11="","",AV11/AV3*100)</f>
        <v>9.6499786572351969</v>
      </c>
      <c r="AW12" s="6">
        <f t="shared" ref="AW12" si="42">IF(AW11="","",AW11/AW3*100)</f>
        <v>0</v>
      </c>
      <c r="AX12" s="6">
        <f t="shared" ref="AX12" si="43">IF(AX11="","",AX11/AX3*100)</f>
        <v>7.5385244870698793</v>
      </c>
      <c r="AY12" s="6">
        <f t="shared" ref="AY12" si="44">IF(AY11="","",AY11/AY3*100)</f>
        <v>6.6349685985490572</v>
      </c>
      <c r="AZ12" s="6">
        <f t="shared" ref="AZ12" si="45">IF(AZ11="","",AZ11/AZ3*100)</f>
        <v>4.2757576372129495</v>
      </c>
      <c r="BA12" s="6">
        <f t="shared" ref="BA12" si="46">IF(BA11="","",BA11/BA3*100)</f>
        <v>7.3930571649285417</v>
      </c>
      <c r="BB12" s="6">
        <f t="shared" ref="BB12" si="47">IF(BB11="","",BB11/BB3*100)</f>
        <v>5.5570127277819523</v>
      </c>
      <c r="BC12" s="6">
        <f t="shared" ref="BC12" si="48">IF(BC11="","",BC11/BC3*100)</f>
        <v>7.0861772008605106</v>
      </c>
      <c r="BD12" s="32">
        <f t="shared" ref="BD12" si="49">IF(BD11="","",BD11/BD3*100)</f>
        <v>3.2250199485770015</v>
      </c>
      <c r="BE12" s="6">
        <f t="shared" ref="BE12" si="50">IF(BE11="","",BE11/BE3*100)</f>
        <v>2.8403159045408204</v>
      </c>
      <c r="BF12" s="37">
        <f t="shared" ref="BF12" si="51">IF(BF11="","",BF11/BF3*100)</f>
        <v>1.4621379380930797</v>
      </c>
      <c r="BG12" s="6">
        <f t="shared" ref="BG12" si="52">IF(BG11="","",BG11/BG3*100)</f>
        <v>-4.333642716750381</v>
      </c>
      <c r="BH12" s="6">
        <f t="shared" ref="BH12" si="53">IF(BH11="","",BH11/BH3*100)</f>
        <v>0.73702830188679247</v>
      </c>
      <c r="BI12" s="6">
        <f t="shared" ref="BI12" si="54">IF(BI11="","",BI11/BI3*100)</f>
        <v>2.5517066763723828</v>
      </c>
      <c r="BJ12" s="32">
        <f t="shared" ref="BJ12" si="55">IF(BJ11="","",BJ11/BJ3*100)</f>
        <v>-4.7426092461729628</v>
      </c>
      <c r="BK12" s="6">
        <f t="shared" ref="BK12:DV12" si="56">IF(BK11="","",BK11/BK3*100)</f>
        <v>6.8918376915733157</v>
      </c>
      <c r="BL12" s="6">
        <f t="shared" si="56"/>
        <v>3.425562307172187</v>
      </c>
      <c r="BM12" s="6">
        <f t="shared" si="56"/>
        <v>2.4364692401024577</v>
      </c>
      <c r="BN12" s="6">
        <f t="shared" si="56"/>
        <v>3.1428176383476512</v>
      </c>
      <c r="BO12" s="6">
        <f t="shared" si="56"/>
        <v>6.0112314394690625</v>
      </c>
      <c r="BP12" s="6">
        <f t="shared" si="56"/>
        <v>2.8849100318851026</v>
      </c>
      <c r="BQ12" s="6">
        <f t="shared" si="56"/>
        <v>0</v>
      </c>
      <c r="BR12" s="6">
        <f t="shared" si="56"/>
        <v>3.4640197858041932</v>
      </c>
      <c r="BS12" s="6">
        <f t="shared" si="56"/>
        <v>1.613085348345781</v>
      </c>
      <c r="BT12" s="6">
        <f t="shared" si="56"/>
        <v>0</v>
      </c>
      <c r="BU12" s="6">
        <f t="shared" si="56"/>
        <v>32.526506366261181</v>
      </c>
      <c r="BV12" s="6">
        <f t="shared" si="56"/>
        <v>5.7943531394858834</v>
      </c>
      <c r="BW12" s="6">
        <f t="shared" si="56"/>
        <v>1.1581632653061225</v>
      </c>
      <c r="BX12" s="6">
        <f t="shared" si="56"/>
        <v>0.95895181519484385</v>
      </c>
      <c r="BY12" s="6">
        <f t="shared" si="56"/>
        <v>2.5652740820796636</v>
      </c>
      <c r="BZ12" s="6">
        <f t="shared" si="56"/>
        <v>3.4670894575460256</v>
      </c>
      <c r="CA12" s="6">
        <f t="shared" si="56"/>
        <v>48.369462614544247</v>
      </c>
      <c r="CB12" s="6">
        <f t="shared" si="56"/>
        <v>0</v>
      </c>
      <c r="CC12" s="6">
        <f t="shared" si="56"/>
        <v>0</v>
      </c>
      <c r="CD12" s="6">
        <f t="shared" si="56"/>
        <v>2.1879335464911014</v>
      </c>
      <c r="CE12" s="6">
        <f t="shared" si="56"/>
        <v>0</v>
      </c>
      <c r="CF12" s="6">
        <f t="shared" si="56"/>
        <v>11.338029489101348</v>
      </c>
      <c r="CG12" s="6">
        <f t="shared" si="56"/>
        <v>-6.8624036513944775</v>
      </c>
      <c r="CH12" s="6">
        <f t="shared" si="56"/>
        <v>0</v>
      </c>
      <c r="CI12" s="6">
        <f t="shared" si="56"/>
        <v>6.674069447336155</v>
      </c>
      <c r="CJ12" s="6">
        <f t="shared" si="56"/>
        <v>0</v>
      </c>
      <c r="CK12" s="6">
        <f t="shared" si="56"/>
        <v>2.0979457810663926</v>
      </c>
      <c r="CL12" s="6">
        <f t="shared" si="56"/>
        <v>2.0796577087967814</v>
      </c>
      <c r="CM12" s="6">
        <f t="shared" si="56"/>
        <v>0</v>
      </c>
      <c r="CN12" s="6">
        <f t="shared" si="56"/>
        <v>2.3871412657153463</v>
      </c>
      <c r="CO12" s="6">
        <f t="shared" si="56"/>
        <v>12.502471487616514</v>
      </c>
      <c r="CP12" s="6">
        <f t="shared" si="56"/>
        <v>1179.9771442319259</v>
      </c>
      <c r="CQ12" s="6">
        <f t="shared" si="56"/>
        <v>2.5168658043286349</v>
      </c>
      <c r="CR12" s="6">
        <f t="shared" si="56"/>
        <v>5.6072874493927127</v>
      </c>
      <c r="CS12" s="6">
        <f t="shared" si="56"/>
        <v>1.5906226675965691</v>
      </c>
      <c r="CT12" s="6">
        <f t="shared" si="56"/>
        <v>7.13389406922043</v>
      </c>
      <c r="CU12" s="6">
        <f t="shared" si="56"/>
        <v>4.3957065500675618</v>
      </c>
      <c r="CV12" s="6">
        <f t="shared" si="56"/>
        <v>0</v>
      </c>
      <c r="CW12" s="6">
        <f t="shared" si="56"/>
        <v>3.6662503525240719</v>
      </c>
      <c r="CX12" s="6">
        <f t="shared" si="56"/>
        <v>3.3678301110847229</v>
      </c>
      <c r="CY12" s="6">
        <f t="shared" si="56"/>
        <v>2.5805649680874638</v>
      </c>
      <c r="CZ12" s="6">
        <f t="shared" si="56"/>
        <v>6.2160019978067558</v>
      </c>
      <c r="DA12" s="6">
        <f t="shared" si="56"/>
        <v>2.2775558532842424</v>
      </c>
      <c r="DB12" s="6">
        <f t="shared" si="56"/>
        <v>4.3539918706513436</v>
      </c>
      <c r="DC12" s="6">
        <f t="shared" si="56"/>
        <v>4.944602142660929</v>
      </c>
      <c r="DD12" s="6">
        <f t="shared" si="56"/>
        <v>0.82251162446045845</v>
      </c>
      <c r="DE12" s="6">
        <f t="shared" si="56"/>
        <v>0.98871501142136287</v>
      </c>
      <c r="DF12" s="6">
        <f t="shared" si="56"/>
        <v>2.3065142112028933</v>
      </c>
      <c r="DG12" s="6">
        <f t="shared" si="56"/>
        <v>8.1665560087261682</v>
      </c>
      <c r="DH12" s="6">
        <f t="shared" si="56"/>
        <v>7.4672659663167318</v>
      </c>
      <c r="DI12" s="6">
        <f t="shared" si="56"/>
        <v>0.29045161076164716</v>
      </c>
      <c r="DJ12" s="6">
        <f t="shared" si="56"/>
        <v>3.1761575488343143</v>
      </c>
      <c r="DK12" s="6">
        <f t="shared" si="56"/>
        <v>0</v>
      </c>
      <c r="DL12" s="6">
        <f t="shared" si="56"/>
        <v>0</v>
      </c>
      <c r="DM12" s="6">
        <f t="shared" si="56"/>
        <v>6.9910209075219027</v>
      </c>
      <c r="DN12" s="6">
        <f t="shared" si="56"/>
        <v>3.0083212975843256</v>
      </c>
      <c r="DO12" s="6">
        <f t="shared" si="56"/>
        <v>10.614029763693505</v>
      </c>
      <c r="DP12" s="6">
        <f t="shared" si="56"/>
        <v>4.5992598329267214</v>
      </c>
      <c r="DQ12" s="6">
        <f t="shared" si="56"/>
        <v>5.8895791976080183</v>
      </c>
      <c r="DR12" s="6">
        <f t="shared" si="56"/>
        <v>0</v>
      </c>
      <c r="DS12" s="6">
        <f t="shared" si="56"/>
        <v>13.300642097273329</v>
      </c>
      <c r="DT12" s="6">
        <f t="shared" si="56"/>
        <v>2.2462179016619697</v>
      </c>
      <c r="DU12" s="6">
        <f t="shared" si="56"/>
        <v>3.2461542968394328</v>
      </c>
      <c r="DV12" s="6">
        <f t="shared" si="56"/>
        <v>5.0382737042189829</v>
      </c>
      <c r="DW12" s="6">
        <f t="shared" ref="DW12:GH12" si="57">IF(DW11="","",DW11/DW3*100)</f>
        <v>0</v>
      </c>
      <c r="DX12" s="6">
        <f t="shared" si="57"/>
        <v>15.482329017647878</v>
      </c>
      <c r="DY12" s="6">
        <f t="shared" si="57"/>
        <v>0</v>
      </c>
      <c r="DZ12" s="6">
        <f t="shared" si="57"/>
        <v>0</v>
      </c>
      <c r="EA12" s="6">
        <f t="shared" si="57"/>
        <v>7.3608075475043941</v>
      </c>
      <c r="EB12" s="6">
        <f t="shared" si="57"/>
        <v>4.4909164859002173</v>
      </c>
      <c r="EC12" s="6">
        <f t="shared" si="57"/>
        <v>4.5675272849656228</v>
      </c>
      <c r="ED12" s="6">
        <f t="shared" si="57"/>
        <v>0</v>
      </c>
      <c r="EE12" s="6">
        <f t="shared" si="57"/>
        <v>0</v>
      </c>
      <c r="EF12" s="6">
        <f t="shared" si="57"/>
        <v>3.2870290973532272</v>
      </c>
      <c r="EG12" s="6">
        <f t="shared" si="57"/>
        <v>-0.27002481528052424</v>
      </c>
      <c r="EH12" s="6">
        <f t="shared" si="57"/>
        <v>3.14493543393331</v>
      </c>
      <c r="EI12" s="6">
        <f t="shared" si="57"/>
        <v>7.389142339511932</v>
      </c>
      <c r="EJ12" s="6">
        <f t="shared" si="57"/>
        <v>-1.1438931832545476</v>
      </c>
      <c r="EK12" s="6">
        <f t="shared" si="57"/>
        <v>0</v>
      </c>
      <c r="EL12" s="6">
        <f t="shared" si="57"/>
        <v>6.5849843780765527</v>
      </c>
      <c r="EM12" s="6">
        <f t="shared" si="57"/>
        <v>3.0805322211822137</v>
      </c>
      <c r="EN12" s="6">
        <f t="shared" si="57"/>
        <v>6.2109492677926577</v>
      </c>
      <c r="EO12" s="6">
        <f t="shared" si="57"/>
        <v>-1.1438931832545476</v>
      </c>
      <c r="EP12" s="6" t="str">
        <f t="shared" si="57"/>
        <v/>
      </c>
      <c r="EQ12" s="6">
        <f t="shared" si="57"/>
        <v>3.2627542921337334</v>
      </c>
      <c r="ER12" s="6" t="str">
        <f t="shared" si="57"/>
        <v/>
      </c>
      <c r="ES12" s="6" t="str">
        <f t="shared" si="57"/>
        <v/>
      </c>
      <c r="ET12" s="6" t="str">
        <f t="shared" si="57"/>
        <v/>
      </c>
      <c r="EU12" s="6" t="str">
        <f t="shared" si="57"/>
        <v/>
      </c>
      <c r="EV12" s="6" t="str">
        <f t="shared" si="57"/>
        <v/>
      </c>
      <c r="EW12" s="6" t="str">
        <f t="shared" si="57"/>
        <v/>
      </c>
      <c r="EX12" s="6" t="str">
        <f t="shared" si="57"/>
        <v/>
      </c>
      <c r="EY12" s="6" t="str">
        <f t="shared" si="57"/>
        <v/>
      </c>
      <c r="EZ12" s="32">
        <f t="shared" si="57"/>
        <v>1.956741935153828</v>
      </c>
      <c r="FA12" s="6">
        <f t="shared" si="57"/>
        <v>6.1943627549315847</v>
      </c>
      <c r="FB12" s="6">
        <f t="shared" si="57"/>
        <v>2.825923134890731</v>
      </c>
      <c r="FC12" s="6">
        <f t="shared" si="57"/>
        <v>3.0220610456331216</v>
      </c>
      <c r="FD12" s="6">
        <f t="shared" si="57"/>
        <v>0</v>
      </c>
      <c r="FE12" s="6">
        <f t="shared" si="57"/>
        <v>8.3104154350973687</v>
      </c>
      <c r="FF12" s="6">
        <f t="shared" si="57"/>
        <v>0</v>
      </c>
      <c r="FG12" s="6">
        <f t="shared" si="57"/>
        <v>1.4475808696620458</v>
      </c>
      <c r="FH12" s="6">
        <f t="shared" si="57"/>
        <v>-75.906671430388101</v>
      </c>
      <c r="FI12" s="6">
        <f t="shared" si="57"/>
        <v>416.60503414441729</v>
      </c>
      <c r="FJ12" s="6">
        <f t="shared" si="57"/>
        <v>2.4678196319987364</v>
      </c>
      <c r="FK12" s="6">
        <f t="shared" si="57"/>
        <v>913.43896713615015</v>
      </c>
      <c r="FL12" s="6">
        <f t="shared" si="57"/>
        <v>2931.6913576749853</v>
      </c>
      <c r="FM12" s="6">
        <f t="shared" si="57"/>
        <v>0</v>
      </c>
      <c r="FN12" s="32">
        <f t="shared" si="57"/>
        <v>11.683303085299455</v>
      </c>
      <c r="FO12" s="6">
        <f t="shared" si="57"/>
        <v>6.6046966731898236</v>
      </c>
      <c r="FP12" s="6">
        <f t="shared" si="57"/>
        <v>16.063396872992076</v>
      </c>
      <c r="FQ12" s="6">
        <f t="shared" si="57"/>
        <v>4.5554945141898573</v>
      </c>
      <c r="FR12" s="6">
        <f t="shared" si="57"/>
        <v>2.6066180780915462</v>
      </c>
      <c r="FS12" s="6">
        <f t="shared" si="57"/>
        <v>1.5779564919306568</v>
      </c>
      <c r="FT12" s="6">
        <f t="shared" si="57"/>
        <v>2.3662908116377483</v>
      </c>
      <c r="FU12" s="6">
        <f t="shared" si="57"/>
        <v>2.005151923189509</v>
      </c>
      <c r="FV12" s="6">
        <f t="shared" si="57"/>
        <v>1.4043684823856337</v>
      </c>
      <c r="FW12" s="6">
        <f t="shared" si="57"/>
        <v>3.5014005602240892</v>
      </c>
      <c r="FX12" s="6">
        <f t="shared" si="57"/>
        <v>2.3840879160801056</v>
      </c>
      <c r="FY12" s="6">
        <f t="shared" si="57"/>
        <v>0.47892720306513414</v>
      </c>
      <c r="FZ12" s="6">
        <f t="shared" si="57"/>
        <v>2.4450617315070149</v>
      </c>
      <c r="GA12" s="6">
        <f t="shared" si="57"/>
        <v>1.379489426619277</v>
      </c>
      <c r="GB12" s="6">
        <f t="shared" si="57"/>
        <v>6.9279438196620067</v>
      </c>
      <c r="GC12" s="6">
        <f t="shared" si="57"/>
        <v>3.2921810699588478</v>
      </c>
      <c r="GD12" s="6">
        <f t="shared" si="57"/>
        <v>7.5409401718111519</v>
      </c>
      <c r="GE12" s="6">
        <f t="shared" si="57"/>
        <v>0.3235815443468506</v>
      </c>
      <c r="GF12" s="6">
        <f t="shared" si="57"/>
        <v>0.81753651366885494</v>
      </c>
      <c r="GG12" s="6">
        <f t="shared" si="57"/>
        <v>0.8391852518227102</v>
      </c>
      <c r="GH12" s="6">
        <f t="shared" si="57"/>
        <v>1.5484370463563339</v>
      </c>
      <c r="GI12" s="6">
        <f t="shared" ref="GI12:HW12" si="58">IF(GI11="","",GI11/GI3*100)</f>
        <v>0.29453815803199423</v>
      </c>
      <c r="GJ12" s="6">
        <f t="shared" si="58"/>
        <v>4.5350350040270122</v>
      </c>
      <c r="GK12" s="6">
        <f t="shared" si="58"/>
        <v>11.34046295420271</v>
      </c>
      <c r="GL12" s="6">
        <f t="shared" si="58"/>
        <v>2.9368065772893708</v>
      </c>
      <c r="GM12" s="6">
        <f t="shared" si="58"/>
        <v>0.3930365759179747</v>
      </c>
      <c r="GN12" s="6">
        <f t="shared" si="58"/>
        <v>2.4465386009423709</v>
      </c>
      <c r="GO12" s="6">
        <f t="shared" si="58"/>
        <v>1.5819818130683414</v>
      </c>
      <c r="GP12" s="6">
        <f t="shared" si="58"/>
        <v>8.8419941552252439</v>
      </c>
      <c r="GQ12" s="6">
        <f t="shared" si="58"/>
        <v>1.5030172510487472</v>
      </c>
      <c r="GR12" s="6">
        <f t="shared" si="58"/>
        <v>4715.2362066089654</v>
      </c>
      <c r="GS12" s="6">
        <f t="shared" si="58"/>
        <v>3.5578689826931602</v>
      </c>
      <c r="GT12" s="6" t="str">
        <f t="shared" si="58"/>
        <v/>
      </c>
      <c r="GU12" s="6" t="str">
        <f t="shared" si="58"/>
        <v/>
      </c>
      <c r="GV12" s="6" t="str">
        <f t="shared" si="58"/>
        <v/>
      </c>
      <c r="GW12" s="6" t="str">
        <f t="shared" si="58"/>
        <v/>
      </c>
      <c r="GX12" s="6" t="str">
        <f t="shared" si="58"/>
        <v/>
      </c>
      <c r="GY12" s="6" t="str">
        <f t="shared" si="58"/>
        <v/>
      </c>
      <c r="GZ12" s="6" t="str">
        <f t="shared" si="58"/>
        <v/>
      </c>
      <c r="HA12" s="6" t="str">
        <f t="shared" si="58"/>
        <v/>
      </c>
      <c r="HB12" s="6">
        <f t="shared" si="58"/>
        <v>2.0661014731303502</v>
      </c>
      <c r="HC12" s="6">
        <f t="shared" si="58"/>
        <v>2.2161586583255692</v>
      </c>
      <c r="HD12" s="6">
        <f t="shared" si="58"/>
        <v>2.1213583068462856</v>
      </c>
      <c r="HE12" s="6">
        <f t="shared" si="58"/>
        <v>2.1799206989478019</v>
      </c>
      <c r="HF12" s="6">
        <f t="shared" si="58"/>
        <v>1.1096833011079204</v>
      </c>
      <c r="HG12" s="6">
        <f t="shared" si="58"/>
        <v>-5.375152016017954</v>
      </c>
      <c r="HH12" s="6">
        <f t="shared" si="58"/>
        <v>2.2381985892566467</v>
      </c>
      <c r="HI12" s="6">
        <f t="shared" si="58"/>
        <v>2.1801920294620545</v>
      </c>
      <c r="HJ12" s="6" t="str">
        <f t="shared" si="58"/>
        <v/>
      </c>
      <c r="HK12" s="6">
        <f t="shared" si="58"/>
        <v>0.40471272401238423</v>
      </c>
      <c r="HL12" s="6">
        <f t="shared" si="58"/>
        <v>0.97721701500765656</v>
      </c>
      <c r="HM12" s="6">
        <f t="shared" si="58"/>
        <v>1.4175055391754916</v>
      </c>
      <c r="HN12" s="6">
        <f t="shared" si="58"/>
        <v>2.6702500592332021</v>
      </c>
      <c r="HO12" s="6">
        <f t="shared" si="58"/>
        <v>2.5444758507739151</v>
      </c>
      <c r="HP12" s="6">
        <f t="shared" si="58"/>
        <v>0.97595869765163079</v>
      </c>
      <c r="HQ12" s="6">
        <f t="shared" si="58"/>
        <v>1.0694119660069583</v>
      </c>
      <c r="HR12" s="6">
        <f t="shared" si="58"/>
        <v>4.997595116405285</v>
      </c>
      <c r="HS12" s="6">
        <f t="shared" si="58"/>
        <v>3.0279750287225053</v>
      </c>
      <c r="HT12" s="6">
        <f t="shared" si="58"/>
        <v>2.2094739344639076</v>
      </c>
      <c r="HU12" s="6">
        <f t="shared" si="58"/>
        <v>0.99555474903018937</v>
      </c>
      <c r="HV12" s="6">
        <f t="shared" si="58"/>
        <v>0.44134175120070246</v>
      </c>
      <c r="HW12" s="6">
        <f>IF(HW11="","",HW11/HW3*100)</f>
        <v>2.0246494727693483</v>
      </c>
      <c r="HX12" s="6">
        <f t="shared" ref="HX12:HY12" si="59">IF(HX11="","",HX11/HX3*100)</f>
        <v>1.6148711433273293</v>
      </c>
      <c r="HY12" s="6">
        <f t="shared" si="59"/>
        <v>1.7740623163801317</v>
      </c>
    </row>
    <row r="13" spans="1:233" x14ac:dyDescent="0.5">
      <c r="A13" s="5" t="s">
        <v>11</v>
      </c>
      <c r="B13" s="7">
        <v>4.58E-2</v>
      </c>
      <c r="C13" s="7">
        <v>4.58E-2</v>
      </c>
      <c r="D13" s="7">
        <v>4.58E-2</v>
      </c>
      <c r="E13" s="7">
        <v>4.58E-2</v>
      </c>
      <c r="F13" s="7">
        <v>4.58E-2</v>
      </c>
      <c r="G13" s="7">
        <v>4.58E-2</v>
      </c>
      <c r="H13" s="7">
        <v>4.58E-2</v>
      </c>
      <c r="I13" s="7">
        <v>4.58E-2</v>
      </c>
      <c r="J13" s="7">
        <v>4.58E-2</v>
      </c>
      <c r="K13" s="7">
        <v>4.58E-2</v>
      </c>
      <c r="L13" s="7">
        <v>4.58E-2</v>
      </c>
      <c r="M13" s="7">
        <v>4.58E-2</v>
      </c>
      <c r="N13" s="7">
        <v>4.58E-2</v>
      </c>
      <c r="O13" s="7">
        <v>4.58E-2</v>
      </c>
      <c r="P13" s="7">
        <v>4.58E-2</v>
      </c>
      <c r="Q13" s="7">
        <v>4.58E-2</v>
      </c>
      <c r="R13" s="7">
        <v>4.58E-2</v>
      </c>
      <c r="S13" s="7">
        <v>4.58E-2</v>
      </c>
      <c r="T13" s="7">
        <v>4.58E-2</v>
      </c>
      <c r="U13" s="7">
        <v>4.58E-2</v>
      </c>
      <c r="V13" s="7">
        <v>4.58E-2</v>
      </c>
      <c r="W13" s="7">
        <v>4.58E-2</v>
      </c>
      <c r="X13" s="7">
        <v>4.58E-2</v>
      </c>
      <c r="Y13" s="7">
        <v>4.58E-2</v>
      </c>
      <c r="Z13" s="7">
        <v>4.58E-2</v>
      </c>
      <c r="AA13" s="7">
        <v>4.58E-2</v>
      </c>
      <c r="AB13" s="7">
        <v>4.58E-2</v>
      </c>
      <c r="AC13" s="7">
        <v>4.58E-2</v>
      </c>
      <c r="AD13" s="7">
        <v>4.58E-2</v>
      </c>
      <c r="AE13" s="7">
        <v>4.58E-2</v>
      </c>
      <c r="AF13" s="7">
        <v>4.58E-2</v>
      </c>
      <c r="AG13" s="7">
        <v>4.58E-2</v>
      </c>
      <c r="AH13" s="7">
        <v>4.58E-2</v>
      </c>
      <c r="AI13" s="7">
        <v>4.58E-2</v>
      </c>
      <c r="AJ13" s="7">
        <v>4.58E-2</v>
      </c>
      <c r="AK13" s="7">
        <v>4.58E-2</v>
      </c>
      <c r="AL13" s="7">
        <v>4.58E-2</v>
      </c>
      <c r="AM13" s="7">
        <v>4.58E-2</v>
      </c>
      <c r="AN13" s="7">
        <v>4.58E-2</v>
      </c>
      <c r="AO13" s="7">
        <v>4.58E-2</v>
      </c>
      <c r="AP13" s="7">
        <v>4.58E-2</v>
      </c>
      <c r="AQ13" s="7">
        <v>4.58E-2</v>
      </c>
      <c r="AR13" s="7">
        <v>4.58E-2</v>
      </c>
      <c r="AS13" s="7">
        <v>4.58E-2</v>
      </c>
      <c r="AT13" s="7">
        <v>4.58E-2</v>
      </c>
      <c r="AU13" s="7">
        <v>4.58E-2</v>
      </c>
      <c r="AV13" s="7">
        <v>4.58E-2</v>
      </c>
      <c r="AW13" s="7">
        <v>4.58E-2</v>
      </c>
      <c r="AX13" s="7">
        <v>4.58E-2</v>
      </c>
      <c r="AY13" s="7">
        <v>4.58E-2</v>
      </c>
      <c r="AZ13" s="7">
        <v>4.58E-2</v>
      </c>
      <c r="BA13" s="7">
        <v>4.58E-2</v>
      </c>
      <c r="BB13" s="7">
        <v>4.58E-2</v>
      </c>
      <c r="BC13" s="7">
        <v>4.58E-2</v>
      </c>
      <c r="BD13" s="33">
        <v>4.58E-2</v>
      </c>
      <c r="BE13" s="7">
        <v>4.58E-2</v>
      </c>
      <c r="BF13" s="38">
        <v>4.58E-2</v>
      </c>
      <c r="BG13" s="7">
        <v>4.58E-2</v>
      </c>
      <c r="BH13" s="7">
        <v>4.58E-2</v>
      </c>
      <c r="BI13" s="7">
        <v>4.58E-2</v>
      </c>
      <c r="BJ13" s="33">
        <v>4.58E-2</v>
      </c>
      <c r="BK13" s="7">
        <v>4.58E-2</v>
      </c>
      <c r="BL13" s="7">
        <v>4.58E-2</v>
      </c>
      <c r="BM13" s="7">
        <v>4.58E-2</v>
      </c>
      <c r="BN13" s="7">
        <v>4.58E-2</v>
      </c>
      <c r="BO13" s="7">
        <v>4.58E-2</v>
      </c>
      <c r="BP13" s="7">
        <v>4.58E-2</v>
      </c>
      <c r="BQ13" s="7">
        <v>4.58E-2</v>
      </c>
      <c r="BR13" s="7">
        <v>4.58E-2</v>
      </c>
      <c r="BS13" s="7">
        <v>4.58E-2</v>
      </c>
      <c r="BT13" s="7">
        <v>4.58E-2</v>
      </c>
      <c r="BU13" s="7">
        <v>4.58E-2</v>
      </c>
      <c r="BV13" s="7">
        <v>4.58E-2</v>
      </c>
      <c r="BW13" s="7">
        <v>4.58E-2</v>
      </c>
      <c r="BX13" s="7">
        <v>4.58E-2</v>
      </c>
      <c r="BY13" s="7">
        <v>4.58E-2</v>
      </c>
      <c r="BZ13" s="7">
        <v>4.58E-2</v>
      </c>
      <c r="CA13" s="7">
        <v>4.58E-2</v>
      </c>
      <c r="CB13" s="7">
        <v>4.58E-2</v>
      </c>
      <c r="CC13" s="7">
        <v>4.58E-2</v>
      </c>
      <c r="CD13" s="7">
        <v>4.58E-2</v>
      </c>
      <c r="CE13" s="7">
        <v>4.58E-2</v>
      </c>
      <c r="CF13" s="7">
        <v>4.58E-2</v>
      </c>
      <c r="CG13" s="7">
        <v>4.58E-2</v>
      </c>
      <c r="CH13" s="7">
        <v>4.58E-2</v>
      </c>
      <c r="CI13" s="7">
        <v>4.58E-2</v>
      </c>
      <c r="CJ13" s="7">
        <v>4.58E-2</v>
      </c>
      <c r="CK13" s="7">
        <v>4.58E-2</v>
      </c>
      <c r="CL13" s="7">
        <v>4.58E-2</v>
      </c>
      <c r="CM13" s="7">
        <v>4.58E-2</v>
      </c>
      <c r="CN13" s="7">
        <v>4.58E-2</v>
      </c>
      <c r="CO13" s="7">
        <v>4.58E-2</v>
      </c>
      <c r="CP13" s="7">
        <v>4.58E-2</v>
      </c>
      <c r="CQ13" s="7">
        <v>4.58E-2</v>
      </c>
      <c r="CR13" s="7">
        <v>4.58E-2</v>
      </c>
      <c r="CS13" s="7">
        <v>4.58E-2</v>
      </c>
      <c r="CT13" s="7">
        <v>4.58E-2</v>
      </c>
      <c r="CU13" s="7">
        <v>4.58E-2</v>
      </c>
      <c r="CV13" s="7">
        <v>4.58E-2</v>
      </c>
      <c r="CW13" s="7">
        <v>4.58E-2</v>
      </c>
      <c r="CX13" s="7">
        <v>4.58E-2</v>
      </c>
      <c r="CY13" s="7">
        <v>4.58E-2</v>
      </c>
      <c r="CZ13" s="7">
        <v>4.58E-2</v>
      </c>
      <c r="DA13" s="7">
        <v>4.58E-2</v>
      </c>
      <c r="DB13" s="7">
        <v>4.58E-2</v>
      </c>
      <c r="DC13" s="7">
        <v>4.58E-2</v>
      </c>
      <c r="DD13" s="7">
        <v>4.58E-2</v>
      </c>
      <c r="DE13" s="7">
        <v>4.58E-2</v>
      </c>
      <c r="DF13" s="7">
        <v>4.58E-2</v>
      </c>
      <c r="DG13" s="7">
        <v>4.58E-2</v>
      </c>
      <c r="DH13" s="7">
        <v>4.58E-2</v>
      </c>
      <c r="DI13" s="7">
        <v>4.58E-2</v>
      </c>
      <c r="DJ13" s="7">
        <v>4.58E-2</v>
      </c>
      <c r="DK13" s="7">
        <v>4.58E-2</v>
      </c>
      <c r="DL13" s="7">
        <v>4.58E-2</v>
      </c>
      <c r="DM13" s="7">
        <v>4.58E-2</v>
      </c>
      <c r="DN13" s="7">
        <v>4.58E-2</v>
      </c>
      <c r="DO13" s="7">
        <v>4.58E-2</v>
      </c>
      <c r="DP13" s="7">
        <v>4.58E-2</v>
      </c>
      <c r="DQ13" s="7">
        <v>4.58E-2</v>
      </c>
      <c r="DR13" s="7">
        <v>4.58E-2</v>
      </c>
      <c r="DS13" s="7">
        <v>4.58E-2</v>
      </c>
      <c r="DT13" s="7">
        <v>4.58E-2</v>
      </c>
      <c r="DU13" s="7">
        <v>4.58E-2</v>
      </c>
      <c r="DV13" s="7">
        <v>4.58E-2</v>
      </c>
      <c r="DW13" s="7">
        <v>4.58E-2</v>
      </c>
      <c r="DX13" s="7">
        <v>4.58E-2</v>
      </c>
      <c r="DY13" s="7">
        <v>4.58E-2</v>
      </c>
      <c r="DZ13" s="7">
        <v>4.58E-2</v>
      </c>
      <c r="EA13" s="7">
        <v>4.58E-2</v>
      </c>
      <c r="EB13" s="7">
        <v>4.58E-2</v>
      </c>
      <c r="EC13" s="7">
        <v>4.58E-2</v>
      </c>
      <c r="ED13" s="7">
        <v>4.58E-2</v>
      </c>
      <c r="EE13" s="7">
        <v>4.58E-2</v>
      </c>
      <c r="EF13" s="7">
        <v>4.58E-2</v>
      </c>
      <c r="EG13" s="7">
        <v>4.58E-2</v>
      </c>
      <c r="EH13" s="7">
        <v>4.58E-2</v>
      </c>
      <c r="EI13" s="7">
        <v>4.58E-2</v>
      </c>
      <c r="EJ13" s="7">
        <v>4.58E-2</v>
      </c>
      <c r="EK13" s="7">
        <v>4.58E-2</v>
      </c>
      <c r="EL13" s="7">
        <v>4.58E-2</v>
      </c>
      <c r="EM13" s="7">
        <v>4.58E-2</v>
      </c>
      <c r="EN13" s="7">
        <v>4.58E-2</v>
      </c>
      <c r="EO13" s="7">
        <v>4.58E-2</v>
      </c>
      <c r="EP13" s="7">
        <v>4.58E-2</v>
      </c>
      <c r="EQ13" s="7">
        <v>4.58E-2</v>
      </c>
      <c r="ER13" s="7">
        <v>4.58E-2</v>
      </c>
      <c r="ES13" s="7">
        <v>4.58E-2</v>
      </c>
      <c r="ET13" s="7">
        <v>4.58E-2</v>
      </c>
      <c r="EU13" s="7">
        <v>4.58E-2</v>
      </c>
      <c r="EV13" s="7">
        <v>4.58E-2</v>
      </c>
      <c r="EW13" s="7">
        <v>4.58E-2</v>
      </c>
      <c r="EX13" s="7">
        <v>4.58E-2</v>
      </c>
      <c r="EY13" s="7">
        <v>4.58E-2</v>
      </c>
      <c r="EZ13" s="33">
        <v>4.58E-2</v>
      </c>
      <c r="FA13" s="7">
        <v>4.58E-2</v>
      </c>
      <c r="FB13" s="7">
        <v>4.58E-2</v>
      </c>
      <c r="FC13" s="7">
        <v>4.58E-2</v>
      </c>
      <c r="FD13" s="7">
        <v>4.58E-2</v>
      </c>
      <c r="FE13" s="7">
        <v>4.58E-2</v>
      </c>
      <c r="FF13" s="7">
        <v>4.58E-2</v>
      </c>
      <c r="FG13" s="7">
        <v>4.58E-2</v>
      </c>
      <c r="FH13" s="7">
        <v>4.58E-2</v>
      </c>
      <c r="FI13" s="7">
        <v>4.58E-2</v>
      </c>
      <c r="FJ13" s="7">
        <v>4.58E-2</v>
      </c>
      <c r="FK13" s="7">
        <v>4.58E-2</v>
      </c>
      <c r="FL13" s="7">
        <v>4.58E-2</v>
      </c>
      <c r="FM13" s="7">
        <v>4.58E-2</v>
      </c>
      <c r="FN13" s="33">
        <v>4.58E-2</v>
      </c>
      <c r="FO13" s="7">
        <v>4.58E-2</v>
      </c>
      <c r="FP13" s="7">
        <v>4.58E-2</v>
      </c>
      <c r="FQ13" s="7">
        <v>4.58E-2</v>
      </c>
      <c r="FR13" s="7">
        <v>4.58E-2</v>
      </c>
      <c r="FS13" s="7">
        <v>4.58E-2</v>
      </c>
      <c r="FT13" s="7">
        <v>4.58E-2</v>
      </c>
      <c r="FU13" s="7">
        <v>4.58E-2</v>
      </c>
      <c r="FV13" s="7">
        <v>4.58E-2</v>
      </c>
      <c r="FW13" s="7">
        <v>4.58E-2</v>
      </c>
      <c r="FX13" s="7">
        <v>4.58E-2</v>
      </c>
      <c r="FY13" s="7">
        <v>4.58E-2</v>
      </c>
      <c r="FZ13" s="7">
        <v>4.58E-2</v>
      </c>
      <c r="GA13" s="7">
        <v>4.58E-2</v>
      </c>
      <c r="GB13" s="7">
        <v>4.58E-2</v>
      </c>
      <c r="GC13" s="7">
        <v>4.58E-2</v>
      </c>
      <c r="GD13" s="7">
        <v>4.58E-2</v>
      </c>
      <c r="GE13" s="7">
        <v>4.58E-2</v>
      </c>
      <c r="GF13" s="7">
        <v>4.58E-2</v>
      </c>
      <c r="GG13" s="7">
        <v>4.58E-2</v>
      </c>
      <c r="GH13" s="7">
        <v>4.58E-2</v>
      </c>
      <c r="GI13" s="7">
        <v>4.58E-2</v>
      </c>
      <c r="GJ13" s="7">
        <v>4.58E-2</v>
      </c>
      <c r="GK13" s="7">
        <v>4.58E-2</v>
      </c>
      <c r="GL13" s="7">
        <v>4.58E-2</v>
      </c>
      <c r="GM13" s="7">
        <v>4.58E-2</v>
      </c>
      <c r="GN13" s="7">
        <v>4.58E-2</v>
      </c>
      <c r="GO13" s="7">
        <v>4.58E-2</v>
      </c>
      <c r="GP13" s="7">
        <v>4.58E-2</v>
      </c>
      <c r="GQ13" s="7">
        <v>4.58E-2</v>
      </c>
      <c r="GR13" s="7">
        <v>4.58E-2</v>
      </c>
      <c r="GS13" s="7">
        <v>4.58E-2</v>
      </c>
      <c r="GT13" s="7">
        <v>4.58E-2</v>
      </c>
      <c r="GU13" s="7">
        <v>4.58E-2</v>
      </c>
      <c r="GV13" s="7">
        <v>4.58E-2</v>
      </c>
      <c r="GW13" s="7">
        <v>4.58E-2</v>
      </c>
      <c r="GX13" s="7">
        <v>4.58E-2</v>
      </c>
      <c r="GY13" s="7">
        <v>4.58E-2</v>
      </c>
      <c r="GZ13" s="7">
        <v>4.58E-2</v>
      </c>
      <c r="HA13" s="7">
        <v>4.58E-2</v>
      </c>
      <c r="HB13" s="7">
        <v>4.58E-2</v>
      </c>
      <c r="HC13" s="7">
        <v>4.58E-2</v>
      </c>
      <c r="HD13" s="7">
        <v>4.58E-2</v>
      </c>
      <c r="HE13" s="7">
        <v>4.58E-2</v>
      </c>
      <c r="HF13" s="7">
        <v>4.58E-2</v>
      </c>
      <c r="HG13" s="7">
        <v>4.58E-2</v>
      </c>
      <c r="HH13" s="7">
        <v>4.58E-2</v>
      </c>
      <c r="HI13" s="7">
        <v>4.58E-2</v>
      </c>
      <c r="HJ13" s="7">
        <v>4.58E-2</v>
      </c>
      <c r="HK13" s="7">
        <v>4.58E-2</v>
      </c>
      <c r="HL13" s="7">
        <v>4.58E-2</v>
      </c>
      <c r="HM13" s="7">
        <v>4.58E-2</v>
      </c>
      <c r="HN13" s="7">
        <v>4.58E-2</v>
      </c>
      <c r="HO13" s="7">
        <v>4.58E-2</v>
      </c>
      <c r="HP13" s="7">
        <v>4.58E-2</v>
      </c>
      <c r="HQ13" s="7">
        <v>4.58E-2</v>
      </c>
      <c r="HR13" s="7">
        <v>4.58E-2</v>
      </c>
      <c r="HS13" s="7">
        <v>4.58E-2</v>
      </c>
      <c r="HT13" s="7">
        <v>4.58E-2</v>
      </c>
      <c r="HU13" s="7">
        <v>4.58E-2</v>
      </c>
      <c r="HV13" s="7">
        <v>4.58E-2</v>
      </c>
      <c r="HW13" s="7">
        <v>4.58E-2</v>
      </c>
      <c r="HX13" s="7">
        <v>4.58E-2</v>
      </c>
      <c r="HY13" s="7">
        <v>4.58E-2</v>
      </c>
    </row>
    <row r="14" spans="1:233" x14ac:dyDescent="0.5">
      <c r="A14" s="13" t="s">
        <v>12</v>
      </c>
      <c r="B14" s="8">
        <v>2.15</v>
      </c>
      <c r="C14" s="16">
        <v>2.37</v>
      </c>
      <c r="D14" s="16">
        <v>4.22</v>
      </c>
      <c r="E14" s="16">
        <v>2.72</v>
      </c>
      <c r="F14" s="16">
        <v>2.4700000000000002</v>
      </c>
      <c r="G14" s="16">
        <v>-4.18</v>
      </c>
      <c r="H14" s="16">
        <v>1.19</v>
      </c>
      <c r="I14" s="16">
        <v>1.37</v>
      </c>
      <c r="J14" s="16">
        <v>1.08</v>
      </c>
      <c r="K14" s="27">
        <v>1.1100000000000001</v>
      </c>
      <c r="L14" s="16">
        <v>1.21</v>
      </c>
      <c r="M14" s="16">
        <v>1.07</v>
      </c>
      <c r="N14" s="16">
        <v>1.27</v>
      </c>
      <c r="O14" s="11">
        <v>1.87</v>
      </c>
      <c r="P14" s="11">
        <v>1.22</v>
      </c>
      <c r="Q14" s="11">
        <v>0.71</v>
      </c>
      <c r="R14" s="11">
        <v>1.08</v>
      </c>
      <c r="S14" s="11">
        <v>0.39</v>
      </c>
      <c r="T14" s="11">
        <v>0.65</v>
      </c>
      <c r="U14" s="11">
        <v>1.64</v>
      </c>
      <c r="V14" s="11">
        <v>0.82</v>
      </c>
      <c r="W14" s="11">
        <v>0.87</v>
      </c>
      <c r="X14" s="11">
        <v>0.38</v>
      </c>
      <c r="Y14" s="11">
        <v>1.7</v>
      </c>
      <c r="Z14" s="11">
        <v>1.48</v>
      </c>
      <c r="AA14" s="11">
        <v>1.28</v>
      </c>
      <c r="AB14" s="16">
        <v>1.54</v>
      </c>
      <c r="AC14" s="11">
        <v>0.36</v>
      </c>
      <c r="AD14" s="11">
        <v>0.98</v>
      </c>
      <c r="AE14" s="11">
        <v>1.3</v>
      </c>
      <c r="AF14" s="16">
        <v>0.35</v>
      </c>
      <c r="AG14" s="11">
        <v>1.91</v>
      </c>
      <c r="AH14" s="16">
        <v>0.32</v>
      </c>
      <c r="AI14" s="11">
        <v>1.05</v>
      </c>
      <c r="AJ14" s="11">
        <v>0.38</v>
      </c>
      <c r="AK14" s="11">
        <v>1.4</v>
      </c>
      <c r="AL14" s="11">
        <v>0.67</v>
      </c>
      <c r="AM14" s="11">
        <v>0.4</v>
      </c>
      <c r="AN14" s="11">
        <v>0.93</v>
      </c>
      <c r="AO14" s="11">
        <v>0.69</v>
      </c>
      <c r="AP14" s="11">
        <v>0.43</v>
      </c>
      <c r="AQ14" s="11">
        <v>0.87</v>
      </c>
      <c r="AR14" s="11">
        <v>1.1100000000000001</v>
      </c>
      <c r="AS14" s="11">
        <v>1.56</v>
      </c>
      <c r="AT14" s="11">
        <v>0.23</v>
      </c>
      <c r="AU14" s="11">
        <v>0.43</v>
      </c>
      <c r="AV14" s="11">
        <v>0.17</v>
      </c>
      <c r="AW14" s="11">
        <v>1.22</v>
      </c>
      <c r="AX14" s="11">
        <v>1.1499999999999999</v>
      </c>
      <c r="AY14" s="11">
        <v>1.35</v>
      </c>
      <c r="AZ14" s="11">
        <v>0.44</v>
      </c>
      <c r="BA14" s="11">
        <v>0.43</v>
      </c>
      <c r="BB14" s="11">
        <v>1.24</v>
      </c>
      <c r="BC14" s="11">
        <v>1.21</v>
      </c>
      <c r="BD14" s="11">
        <v>1.67</v>
      </c>
      <c r="BE14" s="35">
        <v>1.78</v>
      </c>
      <c r="BF14" s="11">
        <v>0.99</v>
      </c>
      <c r="BG14" s="11">
        <v>1.17</v>
      </c>
      <c r="BH14" s="11">
        <v>4.13</v>
      </c>
      <c r="BI14" s="11">
        <v>1.43</v>
      </c>
      <c r="BJ14" s="11">
        <v>1.35</v>
      </c>
      <c r="BK14" s="16">
        <v>1.21</v>
      </c>
      <c r="BL14" s="16">
        <v>1.26</v>
      </c>
      <c r="BM14" s="11">
        <v>0.77</v>
      </c>
      <c r="BN14" s="11">
        <v>0.72</v>
      </c>
      <c r="BO14" s="11">
        <v>-0.09</v>
      </c>
      <c r="BP14" s="11">
        <v>0.91</v>
      </c>
      <c r="BQ14" s="11">
        <v>0.32</v>
      </c>
      <c r="BR14" s="11">
        <v>0.52</v>
      </c>
      <c r="BS14" s="11">
        <v>2.5</v>
      </c>
      <c r="BT14" s="11">
        <v>1.03</v>
      </c>
      <c r="BU14" s="11">
        <v>0.33</v>
      </c>
      <c r="BV14" s="11">
        <v>1.49</v>
      </c>
      <c r="BW14" s="11">
        <v>1.69</v>
      </c>
      <c r="BX14" s="11">
        <v>2.82</v>
      </c>
      <c r="BY14" s="11">
        <v>0.86</v>
      </c>
      <c r="BZ14" s="11">
        <v>0.42</v>
      </c>
      <c r="CA14" s="11">
        <v>0.05</v>
      </c>
      <c r="CB14" s="11">
        <v>1.2</v>
      </c>
      <c r="CC14" s="11">
        <v>1.76</v>
      </c>
      <c r="CD14" s="11">
        <v>0.96</v>
      </c>
      <c r="CE14" s="11">
        <v>1.48</v>
      </c>
      <c r="CF14" s="11">
        <v>0.6</v>
      </c>
      <c r="CG14" s="11">
        <v>0.74</v>
      </c>
      <c r="CH14" s="11">
        <v>0.95</v>
      </c>
      <c r="CI14" s="11">
        <v>0.46</v>
      </c>
      <c r="CJ14" s="11">
        <v>0.2</v>
      </c>
      <c r="CK14" s="11">
        <v>1.19</v>
      </c>
      <c r="CL14" s="11">
        <v>1.62</v>
      </c>
      <c r="CM14" s="11">
        <v>0.57999999999999996</v>
      </c>
      <c r="CN14" s="11">
        <v>1.39</v>
      </c>
      <c r="CO14" s="11">
        <v>0.32</v>
      </c>
      <c r="CP14" s="11">
        <v>0.84</v>
      </c>
      <c r="CQ14" s="11">
        <v>0.77</v>
      </c>
      <c r="CR14" s="11">
        <v>1.25</v>
      </c>
      <c r="CT14" s="11">
        <v>1.26</v>
      </c>
      <c r="CU14" s="11">
        <v>0.22</v>
      </c>
      <c r="CV14" s="11">
        <v>1.29</v>
      </c>
      <c r="CW14" s="11">
        <v>1.19</v>
      </c>
      <c r="CX14" s="11">
        <v>0.93</v>
      </c>
      <c r="CY14" s="11">
        <v>0.67</v>
      </c>
      <c r="CZ14" s="11">
        <v>0.33</v>
      </c>
      <c r="DA14" s="11">
        <v>1.1599999999999999</v>
      </c>
      <c r="DB14" s="11">
        <v>0.23</v>
      </c>
      <c r="DC14" s="11">
        <v>1.0900000000000001</v>
      </c>
      <c r="DD14" s="11">
        <v>1.0900000000000001</v>
      </c>
      <c r="DE14" s="11">
        <v>2.42</v>
      </c>
      <c r="DF14" s="11">
        <v>0.98</v>
      </c>
      <c r="DG14" s="11">
        <v>1.41</v>
      </c>
      <c r="DH14" s="11">
        <v>0.42</v>
      </c>
      <c r="DI14" s="11">
        <v>1.37</v>
      </c>
      <c r="DJ14" s="11">
        <v>0.68</v>
      </c>
      <c r="DK14" s="11">
        <v>1.1599999999999999</v>
      </c>
      <c r="DL14" s="11">
        <v>0.9</v>
      </c>
      <c r="DM14" s="11">
        <v>1.54</v>
      </c>
      <c r="DN14" s="11">
        <v>0.9</v>
      </c>
      <c r="DO14" s="11">
        <v>0.23</v>
      </c>
      <c r="DP14" s="11">
        <v>1</v>
      </c>
      <c r="DQ14" s="11">
        <v>0.96</v>
      </c>
      <c r="DR14" s="11">
        <v>0.85</v>
      </c>
      <c r="DS14" s="11">
        <v>0.37</v>
      </c>
      <c r="DT14" s="11">
        <v>1.65</v>
      </c>
      <c r="DU14" s="11">
        <v>1.01</v>
      </c>
      <c r="DV14" s="11">
        <v>0.95</v>
      </c>
      <c r="DW14" s="11">
        <v>0.67</v>
      </c>
      <c r="DX14" s="11">
        <v>0.44</v>
      </c>
      <c r="DY14" s="11">
        <v>0.92</v>
      </c>
      <c r="DZ14" s="11">
        <v>1.41</v>
      </c>
      <c r="EA14" s="11">
        <v>0.06</v>
      </c>
      <c r="EB14" s="11">
        <v>0.74</v>
      </c>
      <c r="EC14" s="11">
        <v>0.64</v>
      </c>
      <c r="ED14" s="11">
        <v>0.99</v>
      </c>
      <c r="EE14" s="11">
        <v>0.53</v>
      </c>
      <c r="EF14" s="11">
        <v>1.05</v>
      </c>
      <c r="EG14" s="11">
        <v>1.1299999999999999</v>
      </c>
      <c r="EH14" s="11">
        <v>1.08</v>
      </c>
      <c r="EI14" s="11">
        <v>1.38</v>
      </c>
      <c r="EJ14" s="11">
        <v>2.0299999999999998</v>
      </c>
      <c r="EK14" s="11">
        <v>2</v>
      </c>
      <c r="EL14" s="11">
        <v>0.33</v>
      </c>
      <c r="EM14" s="11">
        <v>1.26</v>
      </c>
      <c r="EN14" s="11">
        <v>0.39</v>
      </c>
      <c r="EO14" s="11">
        <v>2.0299999999999998</v>
      </c>
      <c r="EQ14" s="11">
        <v>0.32</v>
      </c>
      <c r="EZ14" s="11">
        <v>1.92</v>
      </c>
      <c r="FA14" s="16">
        <v>7.0000000000000007E-2</v>
      </c>
      <c r="FB14" s="11">
        <v>1.49</v>
      </c>
      <c r="FC14" s="11">
        <v>0.32</v>
      </c>
      <c r="FD14" s="11">
        <v>2.29</v>
      </c>
      <c r="FE14" s="11">
        <v>2.5299999999999998</v>
      </c>
      <c r="FF14" s="11">
        <v>1.94</v>
      </c>
      <c r="FH14" s="11">
        <v>0.99</v>
      </c>
      <c r="FI14" s="11">
        <v>2.98</v>
      </c>
      <c r="FJ14" s="11">
        <v>1.45</v>
      </c>
      <c r="FK14" s="11">
        <v>1.48</v>
      </c>
      <c r="FL14" s="11">
        <v>0.85</v>
      </c>
      <c r="FM14" s="11">
        <v>0.97</v>
      </c>
      <c r="FN14" s="11">
        <v>2</v>
      </c>
      <c r="FO14" s="16">
        <v>0.39</v>
      </c>
      <c r="FP14" s="11">
        <v>0.31</v>
      </c>
      <c r="FQ14" s="11">
        <v>1.57</v>
      </c>
      <c r="FR14" s="11">
        <v>1.7</v>
      </c>
      <c r="FS14" s="11">
        <v>1.1000000000000001</v>
      </c>
      <c r="FT14" s="11">
        <v>0.64</v>
      </c>
      <c r="FU14" s="11">
        <v>2.02</v>
      </c>
      <c r="FV14" s="11">
        <v>1.23</v>
      </c>
      <c r="FW14" s="11">
        <v>1.89</v>
      </c>
      <c r="FX14" s="11">
        <v>1.17</v>
      </c>
      <c r="FY14" s="11">
        <v>0.95</v>
      </c>
      <c r="FZ14" s="11">
        <v>1.31</v>
      </c>
      <c r="GB14" s="11">
        <v>0.63</v>
      </c>
      <c r="GC14" s="11">
        <v>1.17</v>
      </c>
      <c r="GD14" s="16">
        <v>0.88</v>
      </c>
      <c r="GE14" s="11">
        <v>2.62</v>
      </c>
      <c r="GG14" s="11">
        <v>1.08</v>
      </c>
      <c r="GH14" s="11">
        <v>1.32</v>
      </c>
      <c r="GI14" s="11">
        <v>1.93</v>
      </c>
      <c r="GJ14" s="16">
        <v>0.64</v>
      </c>
      <c r="GK14" s="11">
        <v>0.28999999999999998</v>
      </c>
      <c r="GL14" s="11">
        <v>1.91</v>
      </c>
      <c r="GM14" s="11">
        <v>1.1399999999999999</v>
      </c>
      <c r="GN14" s="11">
        <v>0.92</v>
      </c>
      <c r="GO14" s="11">
        <v>1.04</v>
      </c>
      <c r="GP14" s="11">
        <v>1.55</v>
      </c>
      <c r="GQ14" s="11">
        <v>0.88</v>
      </c>
      <c r="GR14" s="11">
        <v>0.03</v>
      </c>
      <c r="GS14" s="11">
        <v>0.89</v>
      </c>
      <c r="HB14" s="11">
        <v>1.18</v>
      </c>
      <c r="HC14" s="11">
        <v>1.1100000000000001</v>
      </c>
      <c r="HD14" s="11">
        <v>2.08</v>
      </c>
      <c r="HE14" s="11">
        <v>0.79</v>
      </c>
      <c r="HF14" s="11">
        <v>1.05</v>
      </c>
      <c r="HG14" s="11">
        <v>0.5</v>
      </c>
      <c r="HH14" s="11">
        <v>1.32</v>
      </c>
      <c r="HI14" s="11">
        <v>1.79</v>
      </c>
      <c r="HK14" s="11">
        <v>1.22</v>
      </c>
      <c r="HL14" s="11">
        <v>1.24</v>
      </c>
      <c r="HM14" s="11">
        <v>1.1399999999999999</v>
      </c>
      <c r="HN14" s="11">
        <v>1.3</v>
      </c>
      <c r="HO14" s="11">
        <v>1.9</v>
      </c>
      <c r="HP14" s="11">
        <v>2.25</v>
      </c>
      <c r="HQ14" s="11">
        <v>1.62</v>
      </c>
      <c r="HR14" s="11">
        <v>1.51</v>
      </c>
      <c r="HS14" s="11">
        <v>1.1499999999999999</v>
      </c>
      <c r="HT14" s="11">
        <v>1.26</v>
      </c>
      <c r="HU14" s="11">
        <v>1.79</v>
      </c>
      <c r="HV14" s="11">
        <v>3.34</v>
      </c>
      <c r="HW14" s="11">
        <v>2.2400000000000002</v>
      </c>
      <c r="HX14" s="11">
        <v>1.38</v>
      </c>
      <c r="HY14" s="11">
        <v>1.5</v>
      </c>
    </row>
    <row r="15" spans="1:233" x14ac:dyDescent="0.5">
      <c r="A15" s="5" t="s">
        <v>13</v>
      </c>
      <c r="B15" s="7">
        <v>4.3299999999999998E-2</v>
      </c>
      <c r="C15" s="7">
        <v>4.3299999999999998E-2</v>
      </c>
      <c r="D15" s="7">
        <v>4.3299999999999998E-2</v>
      </c>
      <c r="E15" s="7">
        <v>4.3299999999999998E-2</v>
      </c>
      <c r="F15" s="7">
        <v>4.3299999999999998E-2</v>
      </c>
      <c r="G15" s="7">
        <v>4.3299999999999998E-2</v>
      </c>
      <c r="H15" s="7">
        <v>4.3299999999999998E-2</v>
      </c>
      <c r="I15" s="7">
        <v>4.3299999999999998E-2</v>
      </c>
      <c r="J15" s="7">
        <v>4.3299999999999998E-2</v>
      </c>
      <c r="K15" s="7">
        <v>4.3299999999999998E-2</v>
      </c>
      <c r="L15" s="7">
        <v>4.3299999999999998E-2</v>
      </c>
      <c r="M15" s="7">
        <v>4.3299999999999998E-2</v>
      </c>
      <c r="N15" s="7">
        <v>4.3299999999999998E-2</v>
      </c>
      <c r="O15" s="7">
        <v>4.3299999999999998E-2</v>
      </c>
      <c r="P15" s="7">
        <v>4.3299999999999998E-2</v>
      </c>
      <c r="Q15" s="7">
        <v>4.3299999999999998E-2</v>
      </c>
      <c r="R15" s="7">
        <v>4.3299999999999998E-2</v>
      </c>
      <c r="S15" s="7">
        <v>4.3299999999999998E-2</v>
      </c>
      <c r="T15" s="7">
        <v>4.3299999999999998E-2</v>
      </c>
      <c r="U15" s="7">
        <v>4.3299999999999998E-2</v>
      </c>
      <c r="V15" s="7">
        <v>4.3299999999999998E-2</v>
      </c>
      <c r="W15" s="7">
        <v>4.3299999999999998E-2</v>
      </c>
      <c r="X15" s="7">
        <v>4.3299999999999998E-2</v>
      </c>
      <c r="Y15" s="7">
        <v>4.3299999999999998E-2</v>
      </c>
      <c r="Z15" s="7">
        <v>4.3299999999999998E-2</v>
      </c>
      <c r="AA15" s="7">
        <v>4.3299999999999998E-2</v>
      </c>
      <c r="AB15" s="7">
        <v>4.3299999999999998E-2</v>
      </c>
      <c r="AC15" s="7">
        <v>4.3299999999999998E-2</v>
      </c>
      <c r="AD15" s="7">
        <v>4.3299999999999998E-2</v>
      </c>
      <c r="AE15" s="7">
        <v>4.3299999999999998E-2</v>
      </c>
      <c r="AF15" s="7">
        <v>4.3299999999999998E-2</v>
      </c>
      <c r="AG15" s="7">
        <v>4.3299999999999998E-2</v>
      </c>
      <c r="AH15" s="7">
        <v>4.3299999999999998E-2</v>
      </c>
      <c r="AI15" s="7">
        <v>4.3299999999999998E-2</v>
      </c>
      <c r="AJ15" s="7">
        <v>4.3299999999999998E-2</v>
      </c>
      <c r="AK15" s="7">
        <v>4.3299999999999998E-2</v>
      </c>
      <c r="AL15" s="7">
        <v>4.3299999999999998E-2</v>
      </c>
      <c r="AM15" s="7">
        <v>4.3299999999999998E-2</v>
      </c>
      <c r="AN15" s="7">
        <v>4.3299999999999998E-2</v>
      </c>
      <c r="AO15" s="7">
        <v>4.3299999999999998E-2</v>
      </c>
      <c r="AP15" s="7">
        <v>4.3299999999999998E-2</v>
      </c>
      <c r="AQ15" s="7">
        <v>4.3299999999999998E-2</v>
      </c>
      <c r="AR15" s="7">
        <v>4.3299999999999998E-2</v>
      </c>
      <c r="AS15" s="7">
        <v>4.3299999999999998E-2</v>
      </c>
      <c r="AT15" s="7">
        <v>4.3299999999999998E-2</v>
      </c>
      <c r="AU15" s="7">
        <v>4.3299999999999998E-2</v>
      </c>
      <c r="AV15" s="7">
        <v>4.3299999999999998E-2</v>
      </c>
      <c r="AW15" s="7">
        <v>4.3299999999999998E-2</v>
      </c>
      <c r="AX15" s="7">
        <v>4.3299999999999998E-2</v>
      </c>
      <c r="AY15" s="7">
        <v>4.3299999999999998E-2</v>
      </c>
      <c r="AZ15" s="7">
        <v>4.3299999999999998E-2</v>
      </c>
      <c r="BA15" s="7">
        <v>4.3299999999999998E-2</v>
      </c>
      <c r="BB15" s="7">
        <v>4.3299999999999998E-2</v>
      </c>
      <c r="BC15" s="7">
        <v>4.3299999999999998E-2</v>
      </c>
      <c r="BD15" s="33">
        <v>4.3299999999999998E-2</v>
      </c>
      <c r="BE15" s="7">
        <v>4.3299999999999998E-2</v>
      </c>
      <c r="BF15" s="38">
        <v>4.3299999999999998E-2</v>
      </c>
      <c r="BG15" s="7">
        <v>4.3299999999999998E-2</v>
      </c>
      <c r="BH15" s="7">
        <v>4.3299999999999998E-2</v>
      </c>
      <c r="BI15" s="7">
        <v>4.3299999999999998E-2</v>
      </c>
      <c r="BJ15" s="33">
        <v>4.3299999999999998E-2</v>
      </c>
      <c r="BK15" s="7">
        <v>4.3299999999999998E-2</v>
      </c>
      <c r="BL15" s="7">
        <v>4.3299999999999998E-2</v>
      </c>
      <c r="BM15" s="7">
        <v>4.3299999999999998E-2</v>
      </c>
      <c r="BN15" s="7">
        <v>4.3299999999999998E-2</v>
      </c>
      <c r="BO15" s="7">
        <v>4.3299999999999998E-2</v>
      </c>
      <c r="BP15" s="7">
        <v>4.3299999999999998E-2</v>
      </c>
      <c r="BQ15" s="7">
        <v>4.3299999999999998E-2</v>
      </c>
      <c r="BR15" s="7">
        <v>4.3299999999999998E-2</v>
      </c>
      <c r="BS15" s="7">
        <v>4.3299999999999998E-2</v>
      </c>
      <c r="BT15" s="7">
        <v>4.3299999999999998E-2</v>
      </c>
      <c r="BU15" s="7">
        <v>4.3299999999999998E-2</v>
      </c>
      <c r="BV15" s="7">
        <v>4.3299999999999998E-2</v>
      </c>
      <c r="BW15" s="7">
        <v>4.3299999999999998E-2</v>
      </c>
      <c r="BX15" s="7">
        <v>4.3299999999999998E-2</v>
      </c>
      <c r="BY15" s="7">
        <v>4.3299999999999998E-2</v>
      </c>
      <c r="BZ15" s="7">
        <v>4.3299999999999998E-2</v>
      </c>
      <c r="CA15" s="7">
        <v>4.3299999999999998E-2</v>
      </c>
      <c r="CB15" s="7">
        <v>4.3299999999999998E-2</v>
      </c>
      <c r="CC15" s="7">
        <v>4.3299999999999998E-2</v>
      </c>
      <c r="CD15" s="7">
        <v>4.3299999999999998E-2</v>
      </c>
      <c r="CE15" s="7">
        <v>4.3299999999999998E-2</v>
      </c>
      <c r="CF15" s="7">
        <v>4.3299999999999998E-2</v>
      </c>
      <c r="CG15" s="7">
        <v>4.3299999999999998E-2</v>
      </c>
      <c r="CH15" s="7">
        <v>4.3299999999999998E-2</v>
      </c>
      <c r="CI15" s="7">
        <v>4.3299999999999998E-2</v>
      </c>
      <c r="CJ15" s="7">
        <v>4.3299999999999998E-2</v>
      </c>
      <c r="CK15" s="7">
        <v>4.3299999999999998E-2</v>
      </c>
      <c r="CL15" s="7">
        <v>4.3299999999999998E-2</v>
      </c>
      <c r="CM15" s="7">
        <v>4.3299999999999998E-2</v>
      </c>
      <c r="CN15" s="7">
        <v>4.3299999999999998E-2</v>
      </c>
      <c r="CO15" s="7">
        <v>4.3299999999999998E-2</v>
      </c>
      <c r="CP15" s="7">
        <v>4.3299999999999998E-2</v>
      </c>
      <c r="CQ15" s="7">
        <v>4.3299999999999998E-2</v>
      </c>
      <c r="CR15" s="7">
        <v>4.3299999999999998E-2</v>
      </c>
      <c r="CS15" s="7">
        <v>4.3299999999999998E-2</v>
      </c>
      <c r="CT15" s="7">
        <v>4.3299999999999998E-2</v>
      </c>
      <c r="CU15" s="7">
        <v>4.3299999999999998E-2</v>
      </c>
      <c r="CV15" s="7">
        <v>4.3299999999999998E-2</v>
      </c>
      <c r="CW15" s="7">
        <v>4.3299999999999998E-2</v>
      </c>
      <c r="CX15" s="7">
        <v>4.3299999999999998E-2</v>
      </c>
      <c r="CY15" s="7">
        <v>4.3299999999999998E-2</v>
      </c>
      <c r="CZ15" s="7">
        <v>4.3299999999999998E-2</v>
      </c>
      <c r="DA15" s="7">
        <v>4.3299999999999998E-2</v>
      </c>
      <c r="DB15" s="7">
        <v>4.3299999999999998E-2</v>
      </c>
      <c r="DC15" s="7">
        <v>4.3299999999999998E-2</v>
      </c>
      <c r="DD15" s="7">
        <v>4.3299999999999998E-2</v>
      </c>
      <c r="DE15" s="7">
        <v>4.3299999999999998E-2</v>
      </c>
      <c r="DF15" s="7">
        <v>4.3299999999999998E-2</v>
      </c>
      <c r="DG15" s="7">
        <v>4.3299999999999998E-2</v>
      </c>
      <c r="DH15" s="7">
        <v>4.3299999999999998E-2</v>
      </c>
      <c r="DI15" s="7">
        <v>4.3299999999999998E-2</v>
      </c>
      <c r="DJ15" s="7">
        <v>4.3299999999999998E-2</v>
      </c>
      <c r="DK15" s="7">
        <v>4.3299999999999998E-2</v>
      </c>
      <c r="DL15" s="7">
        <v>4.3299999999999998E-2</v>
      </c>
      <c r="DM15" s="7">
        <v>4.3299999999999998E-2</v>
      </c>
      <c r="DN15" s="7">
        <v>4.3299999999999998E-2</v>
      </c>
      <c r="DO15" s="7">
        <v>4.3299999999999998E-2</v>
      </c>
      <c r="DP15" s="7">
        <v>4.3299999999999998E-2</v>
      </c>
      <c r="DQ15" s="7">
        <v>4.3299999999999998E-2</v>
      </c>
      <c r="DR15" s="7">
        <v>4.3299999999999998E-2</v>
      </c>
      <c r="DS15" s="7">
        <v>4.3299999999999998E-2</v>
      </c>
      <c r="DT15" s="7">
        <v>4.3299999999999998E-2</v>
      </c>
      <c r="DU15" s="7">
        <v>4.3299999999999998E-2</v>
      </c>
      <c r="DV15" s="7">
        <v>4.3299999999999998E-2</v>
      </c>
      <c r="DW15" s="7">
        <v>4.3299999999999998E-2</v>
      </c>
      <c r="DX15" s="7">
        <v>4.3299999999999998E-2</v>
      </c>
      <c r="DY15" s="7">
        <v>4.3299999999999998E-2</v>
      </c>
      <c r="DZ15" s="7">
        <v>4.3299999999999998E-2</v>
      </c>
      <c r="EA15" s="7">
        <v>4.3299999999999998E-2</v>
      </c>
      <c r="EB15" s="7">
        <v>4.3299999999999998E-2</v>
      </c>
      <c r="EC15" s="7">
        <v>4.3299999999999998E-2</v>
      </c>
      <c r="ED15" s="7">
        <v>4.3299999999999998E-2</v>
      </c>
      <c r="EE15" s="7">
        <v>4.3299999999999998E-2</v>
      </c>
      <c r="EF15" s="7">
        <v>4.3299999999999998E-2</v>
      </c>
      <c r="EG15" s="7">
        <v>4.3299999999999998E-2</v>
      </c>
      <c r="EH15" s="7">
        <v>4.3299999999999998E-2</v>
      </c>
      <c r="EI15" s="7">
        <v>4.3299999999999998E-2</v>
      </c>
      <c r="EJ15" s="7">
        <v>4.3299999999999998E-2</v>
      </c>
      <c r="EK15" s="7">
        <v>4.3299999999999998E-2</v>
      </c>
      <c r="EL15" s="7">
        <v>4.3299999999999998E-2</v>
      </c>
      <c r="EM15" s="7">
        <v>4.3299999999999998E-2</v>
      </c>
      <c r="EN15" s="7">
        <v>4.3299999999999998E-2</v>
      </c>
      <c r="EO15" s="7">
        <v>4.3299999999999998E-2</v>
      </c>
      <c r="EP15" s="7">
        <v>4.3299999999999998E-2</v>
      </c>
      <c r="EQ15" s="7">
        <v>4.3299999999999998E-2</v>
      </c>
      <c r="ER15" s="7">
        <v>4.3299999999999998E-2</v>
      </c>
      <c r="ES15" s="7">
        <v>4.3299999999999998E-2</v>
      </c>
      <c r="ET15" s="7">
        <v>4.3299999999999998E-2</v>
      </c>
      <c r="EU15" s="7">
        <v>4.3299999999999998E-2</v>
      </c>
      <c r="EV15" s="7">
        <v>4.3299999999999998E-2</v>
      </c>
      <c r="EW15" s="7">
        <v>4.3299999999999998E-2</v>
      </c>
      <c r="EX15" s="7">
        <v>4.3299999999999998E-2</v>
      </c>
      <c r="EY15" s="7">
        <v>4.3299999999999998E-2</v>
      </c>
      <c r="EZ15" s="33">
        <v>4.3299999999999998E-2</v>
      </c>
      <c r="FA15" s="7">
        <v>4.3299999999999998E-2</v>
      </c>
      <c r="FB15" s="7">
        <v>4.3299999999999998E-2</v>
      </c>
      <c r="FC15" s="7">
        <v>4.3299999999999998E-2</v>
      </c>
      <c r="FD15" s="7">
        <v>4.3299999999999998E-2</v>
      </c>
      <c r="FE15" s="7">
        <v>4.3299999999999998E-2</v>
      </c>
      <c r="FF15" s="7">
        <v>4.3299999999999998E-2</v>
      </c>
      <c r="FG15" s="7">
        <v>4.3299999999999998E-2</v>
      </c>
      <c r="FH15" s="7">
        <v>4.3299999999999998E-2</v>
      </c>
      <c r="FI15" s="7">
        <v>4.3299999999999998E-2</v>
      </c>
      <c r="FJ15" s="7">
        <v>4.3299999999999998E-2</v>
      </c>
      <c r="FK15" s="7">
        <v>4.3299999999999998E-2</v>
      </c>
      <c r="FL15" s="7">
        <v>4.3299999999999998E-2</v>
      </c>
      <c r="FM15" s="7">
        <v>4.3299999999999998E-2</v>
      </c>
      <c r="FN15" s="33">
        <v>4.3299999999999998E-2</v>
      </c>
      <c r="FO15" s="7">
        <v>4.3299999999999998E-2</v>
      </c>
      <c r="FP15" s="7">
        <v>4.3299999999999998E-2</v>
      </c>
      <c r="FQ15" s="7">
        <v>4.3299999999999998E-2</v>
      </c>
      <c r="FR15" s="7">
        <v>4.3299999999999998E-2</v>
      </c>
      <c r="FS15" s="7">
        <v>4.3299999999999998E-2</v>
      </c>
      <c r="FT15" s="7">
        <v>4.3299999999999998E-2</v>
      </c>
      <c r="FU15" s="7">
        <v>4.3299999999999998E-2</v>
      </c>
      <c r="FV15" s="7">
        <v>4.3299999999999998E-2</v>
      </c>
      <c r="FW15" s="7">
        <v>4.3299999999999998E-2</v>
      </c>
      <c r="FX15" s="7">
        <v>4.3299999999999998E-2</v>
      </c>
      <c r="FY15" s="7">
        <v>4.3299999999999998E-2</v>
      </c>
      <c r="FZ15" s="7">
        <v>4.3299999999999998E-2</v>
      </c>
      <c r="GA15" s="7">
        <v>4.3299999999999998E-2</v>
      </c>
      <c r="GB15" s="7">
        <v>4.3299999999999998E-2</v>
      </c>
      <c r="GC15" s="7">
        <v>4.3299999999999998E-2</v>
      </c>
      <c r="GD15" s="7">
        <v>4.3299999999999998E-2</v>
      </c>
      <c r="GE15" s="7">
        <v>4.3299999999999998E-2</v>
      </c>
      <c r="GF15" s="7">
        <v>4.3299999999999998E-2</v>
      </c>
      <c r="GG15" s="7">
        <v>4.3299999999999998E-2</v>
      </c>
      <c r="GH15" s="7">
        <v>4.3299999999999998E-2</v>
      </c>
      <c r="GI15" s="7">
        <v>4.3299999999999998E-2</v>
      </c>
      <c r="GJ15" s="7">
        <v>4.3299999999999998E-2</v>
      </c>
      <c r="GK15" s="7">
        <v>4.3299999999999998E-2</v>
      </c>
      <c r="GL15" s="7">
        <v>4.3299999999999998E-2</v>
      </c>
      <c r="GM15" s="7">
        <v>4.3299999999999998E-2</v>
      </c>
      <c r="GN15" s="7">
        <v>4.3299999999999998E-2</v>
      </c>
      <c r="GO15" s="7">
        <v>4.3299999999999998E-2</v>
      </c>
      <c r="GP15" s="7">
        <v>4.3299999999999998E-2</v>
      </c>
      <c r="GQ15" s="7">
        <v>4.3299999999999998E-2</v>
      </c>
      <c r="GR15" s="7">
        <v>4.3299999999999998E-2</v>
      </c>
      <c r="GS15" s="7">
        <v>4.3299999999999998E-2</v>
      </c>
      <c r="GT15" s="7">
        <v>4.3299999999999998E-2</v>
      </c>
      <c r="GU15" s="7">
        <v>4.3299999999999998E-2</v>
      </c>
      <c r="GV15" s="7">
        <v>4.3299999999999998E-2</v>
      </c>
      <c r="GW15" s="7">
        <v>4.3299999999999998E-2</v>
      </c>
      <c r="GX15" s="7">
        <v>4.3299999999999998E-2</v>
      </c>
      <c r="GY15" s="7">
        <v>4.3299999999999998E-2</v>
      </c>
      <c r="GZ15" s="7">
        <v>4.3299999999999998E-2</v>
      </c>
      <c r="HA15" s="7">
        <v>4.3299999999999998E-2</v>
      </c>
      <c r="HB15" s="7">
        <v>4.3299999999999998E-2</v>
      </c>
      <c r="HC15" s="7">
        <v>4.3299999999999998E-2</v>
      </c>
      <c r="HD15" s="7">
        <v>4.3299999999999998E-2</v>
      </c>
      <c r="HE15" s="7">
        <v>4.3299999999999998E-2</v>
      </c>
      <c r="HF15" s="7">
        <v>4.3299999999999998E-2</v>
      </c>
      <c r="HG15" s="7">
        <v>4.3299999999999998E-2</v>
      </c>
      <c r="HH15" s="7">
        <v>4.3299999999999998E-2</v>
      </c>
      <c r="HI15" s="7">
        <v>4.3299999999999998E-2</v>
      </c>
      <c r="HJ15" s="7">
        <v>4.3299999999999998E-2</v>
      </c>
      <c r="HK15" s="7">
        <v>4.3299999999999998E-2</v>
      </c>
      <c r="HL15" s="7">
        <v>4.3299999999999998E-2</v>
      </c>
      <c r="HM15" s="7">
        <v>4.3299999999999998E-2</v>
      </c>
      <c r="HN15" s="7">
        <v>4.3299999999999998E-2</v>
      </c>
      <c r="HO15" s="7">
        <v>4.3299999999999998E-2</v>
      </c>
      <c r="HP15" s="7">
        <v>4.3299999999999998E-2</v>
      </c>
      <c r="HQ15" s="7">
        <v>4.3299999999999998E-2</v>
      </c>
      <c r="HR15" s="7">
        <v>4.3299999999999998E-2</v>
      </c>
      <c r="HS15" s="7">
        <v>4.3299999999999998E-2</v>
      </c>
      <c r="HT15" s="7">
        <v>4.3299999999999998E-2</v>
      </c>
      <c r="HU15" s="7">
        <v>4.3299999999999998E-2</v>
      </c>
      <c r="HV15" s="7">
        <v>4.3299999999999998E-2</v>
      </c>
      <c r="HW15" s="7">
        <v>4.3299999999999998E-2</v>
      </c>
      <c r="HX15" s="7">
        <v>4.3299999999999998E-2</v>
      </c>
      <c r="HY15" s="7">
        <v>4.3299999999999998E-2</v>
      </c>
    </row>
    <row r="16" spans="1:233" x14ac:dyDescent="0.5">
      <c r="A16" s="5" t="s">
        <v>14</v>
      </c>
      <c r="B16" s="7">
        <f>B15+B13*B14</f>
        <v>0.14177000000000001</v>
      </c>
      <c r="C16" s="7">
        <f>C15+C13*C14</f>
        <v>0.15184600000000001</v>
      </c>
      <c r="D16" s="7">
        <f t="shared" ref="D16:AB16" si="60">D15+D13*D14</f>
        <v>0.23657600000000001</v>
      </c>
      <c r="E16" s="7">
        <f t="shared" si="60"/>
        <v>0.167876</v>
      </c>
      <c r="F16" s="7">
        <f t="shared" si="60"/>
        <v>0.15642600000000001</v>
      </c>
      <c r="G16" s="7">
        <f t="shared" si="60"/>
        <v>-0.14814399999999997</v>
      </c>
      <c r="H16" s="7">
        <f t="shared" si="60"/>
        <v>9.7802E-2</v>
      </c>
      <c r="I16" s="7">
        <f t="shared" si="60"/>
        <v>0.106046</v>
      </c>
      <c r="J16" s="7">
        <f t="shared" si="60"/>
        <v>9.2763999999999999E-2</v>
      </c>
      <c r="K16" s="7">
        <f t="shared" si="60"/>
        <v>9.4137999999999999E-2</v>
      </c>
      <c r="L16" s="7">
        <f t="shared" si="60"/>
        <v>9.8718E-2</v>
      </c>
      <c r="M16" s="7">
        <f t="shared" si="60"/>
        <v>9.2305999999999999E-2</v>
      </c>
      <c r="N16" s="7">
        <f t="shared" si="60"/>
        <v>0.101466</v>
      </c>
      <c r="O16" s="7">
        <f t="shared" si="60"/>
        <v>0.12894600000000001</v>
      </c>
      <c r="P16" s="7">
        <f t="shared" si="60"/>
        <v>9.9176E-2</v>
      </c>
      <c r="Q16" s="7">
        <f t="shared" si="60"/>
        <v>7.5817999999999997E-2</v>
      </c>
      <c r="R16" s="7">
        <f t="shared" si="60"/>
        <v>9.2763999999999999E-2</v>
      </c>
      <c r="S16" s="7">
        <f t="shared" si="60"/>
        <v>6.1161999999999994E-2</v>
      </c>
      <c r="T16" s="7">
        <f t="shared" si="60"/>
        <v>7.3069999999999996E-2</v>
      </c>
      <c r="U16" s="7">
        <f t="shared" si="60"/>
        <v>0.11841199999999999</v>
      </c>
      <c r="V16" s="7">
        <f t="shared" si="60"/>
        <v>8.0855999999999997E-2</v>
      </c>
      <c r="W16" s="7">
        <f t="shared" si="60"/>
        <v>8.3145999999999998E-2</v>
      </c>
      <c r="X16" s="7">
        <f t="shared" si="60"/>
        <v>6.0703999999999994E-2</v>
      </c>
      <c r="Y16" s="7">
        <f t="shared" si="60"/>
        <v>0.12115999999999999</v>
      </c>
      <c r="Z16" s="7">
        <f t="shared" si="60"/>
        <v>0.11108399999999999</v>
      </c>
      <c r="AA16" s="7">
        <f t="shared" si="60"/>
        <v>0.101924</v>
      </c>
      <c r="AB16" s="7">
        <f t="shared" si="60"/>
        <v>0.11383199999999999</v>
      </c>
      <c r="AC16" s="7">
        <f t="shared" ref="AC16" si="61">AC15+AC13*AC14</f>
        <v>5.9787999999999994E-2</v>
      </c>
      <c r="AD16" s="7">
        <f t="shared" ref="AD16" si="62">AD15+AD13*AD14</f>
        <v>8.8183999999999998E-2</v>
      </c>
      <c r="AE16" s="7">
        <f t="shared" ref="AE16" si="63">AE15+AE13*AE14</f>
        <v>0.10284</v>
      </c>
      <c r="AF16" s="7">
        <f t="shared" ref="AF16" si="64">AF15+AF13*AF14</f>
        <v>5.9329999999999994E-2</v>
      </c>
      <c r="AG16" s="7">
        <f t="shared" ref="AG16" si="65">AG15+AG13*AG14</f>
        <v>0.13077800000000001</v>
      </c>
      <c r="AH16" s="7">
        <f t="shared" ref="AH16" si="66">AH15+AH13*AH14</f>
        <v>5.7956000000000001E-2</v>
      </c>
      <c r="AI16" s="7">
        <f t="shared" ref="AI16" si="67">AI15+AI13*AI14</f>
        <v>9.1389999999999999E-2</v>
      </c>
      <c r="AJ16" s="7">
        <f t="shared" ref="AJ16" si="68">AJ15+AJ13*AJ14</f>
        <v>6.0703999999999994E-2</v>
      </c>
      <c r="AK16" s="7">
        <f t="shared" ref="AK16" si="69">AK15+AK13*AK14</f>
        <v>0.10741999999999999</v>
      </c>
      <c r="AL16" s="7">
        <f t="shared" ref="AL16" si="70">AL15+AL13*AL14</f>
        <v>7.3985999999999996E-2</v>
      </c>
      <c r="AM16" s="7">
        <f t="shared" ref="AM16" si="71">AM15+AM13*AM14</f>
        <v>6.1619999999999994E-2</v>
      </c>
      <c r="AN16" s="7">
        <f t="shared" ref="AN16" si="72">AN15+AN13*AN14</f>
        <v>8.5893999999999998E-2</v>
      </c>
      <c r="AO16" s="7">
        <f t="shared" ref="AO16" si="73">AO15+AO13*AO14</f>
        <v>7.4901999999999996E-2</v>
      </c>
      <c r="AP16" s="7">
        <f t="shared" ref="AP16" si="74">AP15+AP13*AP14</f>
        <v>6.2993999999999994E-2</v>
      </c>
      <c r="AQ16" s="7">
        <f t="shared" ref="AQ16" si="75">AQ15+AQ13*AQ14</f>
        <v>8.3145999999999998E-2</v>
      </c>
      <c r="AR16" s="7">
        <f t="shared" ref="AR16" si="76">AR15+AR13*AR14</f>
        <v>9.4137999999999999E-2</v>
      </c>
      <c r="AS16" s="7">
        <f t="shared" ref="AS16" si="77">AS15+AS13*AS14</f>
        <v>0.11474799999999999</v>
      </c>
      <c r="AT16" s="7">
        <f t="shared" ref="AT16" si="78">AT15+AT13*AT14</f>
        <v>5.3834E-2</v>
      </c>
      <c r="AU16" s="7">
        <f t="shared" ref="AU16" si="79">AU15+AU13*AU14</f>
        <v>6.2993999999999994E-2</v>
      </c>
      <c r="AV16" s="7">
        <f t="shared" ref="AV16" si="80">AV15+AV13*AV14</f>
        <v>5.1085999999999999E-2</v>
      </c>
      <c r="AW16" s="7">
        <f t="shared" ref="AW16" si="81">AW15+AW13*AW14</f>
        <v>9.9176E-2</v>
      </c>
      <c r="AX16" s="7">
        <f t="shared" ref="AX16" si="82">AX15+AX13*AX14</f>
        <v>9.597E-2</v>
      </c>
      <c r="AY16" s="7">
        <f t="shared" ref="AY16" si="83">AY15+AY13*AY14</f>
        <v>0.10513</v>
      </c>
      <c r="AZ16" s="7">
        <f t="shared" ref="AZ16" si="84">AZ15+AZ13*AZ14</f>
        <v>6.3451999999999995E-2</v>
      </c>
      <c r="BA16" s="7">
        <f t="shared" ref="BA16" si="85">BA15+BA13*BA14</f>
        <v>6.2993999999999994E-2</v>
      </c>
      <c r="BB16" s="7">
        <f t="shared" ref="BB16" si="86">BB15+BB13*BB14</f>
        <v>0.100092</v>
      </c>
      <c r="BC16" s="7">
        <f t="shared" ref="BC16" si="87">BC15+BC13*BC14</f>
        <v>9.8718E-2</v>
      </c>
      <c r="BD16" s="33">
        <f t="shared" ref="BD16" si="88">BD15+BD13*BD14</f>
        <v>0.119786</v>
      </c>
      <c r="BE16" s="7">
        <f t="shared" ref="BE16" si="89">BE15+BE13*BE14</f>
        <v>0.12482399999999999</v>
      </c>
      <c r="BF16" s="38">
        <f t="shared" ref="BF16" si="90">BF15+BF13*BF14</f>
        <v>8.8641999999999999E-2</v>
      </c>
      <c r="BG16" s="7">
        <f t="shared" ref="BG16" si="91">BG15+BG13*BG14</f>
        <v>9.6886E-2</v>
      </c>
      <c r="BH16" s="7">
        <f t="shared" ref="BH16" si="92">BH15+BH13*BH14</f>
        <v>0.23245399999999999</v>
      </c>
      <c r="BI16" s="7">
        <f t="shared" ref="BI16" si="93">BI15+BI13*BI14</f>
        <v>0.108794</v>
      </c>
      <c r="BJ16" s="33">
        <f t="shared" ref="BJ16" si="94">BJ15+BJ13*BJ14</f>
        <v>0.10513</v>
      </c>
      <c r="BK16" s="7">
        <f t="shared" ref="BK16:DV16" si="95">BK15+BK13*BK14</f>
        <v>9.8718E-2</v>
      </c>
      <c r="BL16" s="7">
        <f t="shared" si="95"/>
        <v>0.101008</v>
      </c>
      <c r="BM16" s="7">
        <f t="shared" si="95"/>
        <v>7.8565999999999997E-2</v>
      </c>
      <c r="BN16" s="7">
        <f t="shared" si="95"/>
        <v>7.6275999999999997E-2</v>
      </c>
      <c r="BO16" s="7">
        <f t="shared" si="95"/>
        <v>3.9177999999999998E-2</v>
      </c>
      <c r="BP16" s="7">
        <f t="shared" si="95"/>
        <v>8.4977999999999998E-2</v>
      </c>
      <c r="BQ16" s="7">
        <f t="shared" si="95"/>
        <v>5.7956000000000001E-2</v>
      </c>
      <c r="BR16" s="7">
        <f t="shared" si="95"/>
        <v>6.7115999999999995E-2</v>
      </c>
      <c r="BS16" s="7">
        <f t="shared" si="95"/>
        <v>0.1578</v>
      </c>
      <c r="BT16" s="7">
        <f t="shared" si="95"/>
        <v>9.0473999999999999E-2</v>
      </c>
      <c r="BU16" s="7">
        <f t="shared" si="95"/>
        <v>5.8414000000000001E-2</v>
      </c>
      <c r="BV16" s="7">
        <f t="shared" si="95"/>
        <v>0.111542</v>
      </c>
      <c r="BW16" s="7">
        <f t="shared" si="95"/>
        <v>0.120702</v>
      </c>
      <c r="BX16" s="7">
        <f t="shared" si="95"/>
        <v>0.172456</v>
      </c>
      <c r="BY16" s="7">
        <f t="shared" si="95"/>
        <v>8.2687999999999998E-2</v>
      </c>
      <c r="BZ16" s="7">
        <f t="shared" si="95"/>
        <v>6.2535999999999994E-2</v>
      </c>
      <c r="CA16" s="7">
        <f t="shared" si="95"/>
        <v>4.5589999999999999E-2</v>
      </c>
      <c r="CB16" s="7">
        <f t="shared" si="95"/>
        <v>9.826E-2</v>
      </c>
      <c r="CC16" s="7">
        <f t="shared" si="95"/>
        <v>0.12390799999999999</v>
      </c>
      <c r="CD16" s="7">
        <f t="shared" si="95"/>
        <v>8.7267999999999998E-2</v>
      </c>
      <c r="CE16" s="7">
        <f t="shared" si="95"/>
        <v>0.11108399999999999</v>
      </c>
      <c r="CF16" s="7">
        <f t="shared" si="95"/>
        <v>7.0779999999999996E-2</v>
      </c>
      <c r="CG16" s="7">
        <f t="shared" si="95"/>
        <v>7.7191999999999997E-2</v>
      </c>
      <c r="CH16" s="7">
        <f t="shared" si="95"/>
        <v>8.6809999999999998E-2</v>
      </c>
      <c r="CI16" s="7">
        <f t="shared" si="95"/>
        <v>6.4367999999999995E-2</v>
      </c>
      <c r="CJ16" s="7">
        <f t="shared" si="95"/>
        <v>5.246E-2</v>
      </c>
      <c r="CK16" s="7">
        <f t="shared" si="95"/>
        <v>9.7802E-2</v>
      </c>
      <c r="CL16" s="7">
        <f t="shared" si="95"/>
        <v>0.11749600000000002</v>
      </c>
      <c r="CM16" s="7">
        <f t="shared" si="95"/>
        <v>6.9863999999999996E-2</v>
      </c>
      <c r="CN16" s="7">
        <f t="shared" si="95"/>
        <v>0.106962</v>
      </c>
      <c r="CO16" s="7">
        <f t="shared" si="95"/>
        <v>5.7956000000000001E-2</v>
      </c>
      <c r="CP16" s="7">
        <f t="shared" si="95"/>
        <v>8.1771999999999997E-2</v>
      </c>
      <c r="CQ16" s="7">
        <f t="shared" si="95"/>
        <v>7.8565999999999997E-2</v>
      </c>
      <c r="CR16" s="7">
        <f t="shared" si="95"/>
        <v>0.10055</v>
      </c>
      <c r="CS16" s="7">
        <f t="shared" si="95"/>
        <v>4.3299999999999998E-2</v>
      </c>
      <c r="CT16" s="7">
        <f t="shared" si="95"/>
        <v>0.101008</v>
      </c>
      <c r="CU16" s="7">
        <f t="shared" si="95"/>
        <v>5.3376E-2</v>
      </c>
      <c r="CV16" s="7">
        <f t="shared" si="95"/>
        <v>0.102382</v>
      </c>
      <c r="CW16" s="7">
        <f t="shared" si="95"/>
        <v>9.7802E-2</v>
      </c>
      <c r="CX16" s="7">
        <f t="shared" si="95"/>
        <v>8.5893999999999998E-2</v>
      </c>
      <c r="CY16" s="7">
        <f t="shared" si="95"/>
        <v>7.3985999999999996E-2</v>
      </c>
      <c r="CZ16" s="7">
        <f t="shared" si="95"/>
        <v>5.8414000000000001E-2</v>
      </c>
      <c r="DA16" s="7">
        <f t="shared" si="95"/>
        <v>9.6427999999999986E-2</v>
      </c>
      <c r="DB16" s="7">
        <f t="shared" si="95"/>
        <v>5.3834E-2</v>
      </c>
      <c r="DC16" s="7">
        <f t="shared" si="95"/>
        <v>9.3221999999999999E-2</v>
      </c>
      <c r="DD16" s="7">
        <f t="shared" si="95"/>
        <v>9.3221999999999999E-2</v>
      </c>
      <c r="DE16" s="7">
        <f t="shared" si="95"/>
        <v>0.154136</v>
      </c>
      <c r="DF16" s="7">
        <f t="shared" si="95"/>
        <v>8.8183999999999998E-2</v>
      </c>
      <c r="DG16" s="7">
        <f t="shared" si="95"/>
        <v>0.107878</v>
      </c>
      <c r="DH16" s="7">
        <f t="shared" si="95"/>
        <v>6.2535999999999994E-2</v>
      </c>
      <c r="DI16" s="7">
        <f t="shared" si="95"/>
        <v>0.106046</v>
      </c>
      <c r="DJ16" s="7">
        <f t="shared" si="95"/>
        <v>7.4443999999999996E-2</v>
      </c>
      <c r="DK16" s="7">
        <f t="shared" si="95"/>
        <v>9.6427999999999986E-2</v>
      </c>
      <c r="DL16" s="7">
        <f t="shared" si="95"/>
        <v>8.4519999999999998E-2</v>
      </c>
      <c r="DM16" s="7">
        <f t="shared" si="95"/>
        <v>0.11383199999999999</v>
      </c>
      <c r="DN16" s="7">
        <f t="shared" si="95"/>
        <v>8.4519999999999998E-2</v>
      </c>
      <c r="DO16" s="7">
        <f t="shared" si="95"/>
        <v>5.3834E-2</v>
      </c>
      <c r="DP16" s="7">
        <f t="shared" si="95"/>
        <v>8.9099999999999999E-2</v>
      </c>
      <c r="DQ16" s="7">
        <f t="shared" si="95"/>
        <v>8.7267999999999998E-2</v>
      </c>
      <c r="DR16" s="7">
        <f t="shared" si="95"/>
        <v>8.2229999999999998E-2</v>
      </c>
      <c r="DS16" s="7">
        <f t="shared" si="95"/>
        <v>6.0245999999999994E-2</v>
      </c>
      <c r="DT16" s="7">
        <f t="shared" si="95"/>
        <v>0.11887</v>
      </c>
      <c r="DU16" s="7">
        <f t="shared" si="95"/>
        <v>8.9557999999999999E-2</v>
      </c>
      <c r="DV16" s="7">
        <f t="shared" si="95"/>
        <v>8.6809999999999998E-2</v>
      </c>
      <c r="DW16" s="7">
        <f t="shared" ref="DW16:EZ16" si="96">DW15+DW13*DW14</f>
        <v>7.3985999999999996E-2</v>
      </c>
      <c r="DX16" s="7">
        <f t="shared" si="96"/>
        <v>6.3451999999999995E-2</v>
      </c>
      <c r="DY16" s="7">
        <f t="shared" si="96"/>
        <v>8.5435999999999998E-2</v>
      </c>
      <c r="DZ16" s="7">
        <f t="shared" si="96"/>
        <v>0.107878</v>
      </c>
      <c r="EA16" s="7">
        <f t="shared" si="96"/>
        <v>4.6047999999999999E-2</v>
      </c>
      <c r="EB16" s="7">
        <f t="shared" si="96"/>
        <v>7.7191999999999997E-2</v>
      </c>
      <c r="EC16" s="7">
        <f t="shared" si="96"/>
        <v>7.2611999999999996E-2</v>
      </c>
      <c r="ED16" s="7">
        <f t="shared" si="96"/>
        <v>8.8641999999999999E-2</v>
      </c>
      <c r="EE16" s="7">
        <f t="shared" si="96"/>
        <v>6.7573999999999995E-2</v>
      </c>
      <c r="EF16" s="7">
        <f t="shared" si="96"/>
        <v>9.1389999999999999E-2</v>
      </c>
      <c r="EG16" s="7">
        <f t="shared" si="96"/>
        <v>9.5054E-2</v>
      </c>
      <c r="EH16" s="7">
        <f t="shared" si="96"/>
        <v>9.2763999999999999E-2</v>
      </c>
      <c r="EI16" s="7">
        <f t="shared" si="96"/>
        <v>0.10650399999999999</v>
      </c>
      <c r="EJ16" s="7">
        <f t="shared" si="96"/>
        <v>0.13627399999999998</v>
      </c>
      <c r="EK16" s="7">
        <f t="shared" si="96"/>
        <v>0.13489999999999999</v>
      </c>
      <c r="EL16" s="7">
        <f t="shared" si="96"/>
        <v>5.8414000000000001E-2</v>
      </c>
      <c r="EM16" s="7">
        <f t="shared" si="96"/>
        <v>0.101008</v>
      </c>
      <c r="EN16" s="7">
        <f t="shared" si="96"/>
        <v>6.1161999999999994E-2</v>
      </c>
      <c r="EO16" s="7">
        <f t="shared" si="96"/>
        <v>0.13627399999999998</v>
      </c>
      <c r="EP16" s="7">
        <f t="shared" si="96"/>
        <v>4.3299999999999998E-2</v>
      </c>
      <c r="EQ16" s="7">
        <f t="shared" si="96"/>
        <v>5.7956000000000001E-2</v>
      </c>
      <c r="ER16" s="7">
        <f t="shared" si="96"/>
        <v>4.3299999999999998E-2</v>
      </c>
      <c r="ES16" s="7">
        <f t="shared" si="96"/>
        <v>4.3299999999999998E-2</v>
      </c>
      <c r="ET16" s="7">
        <f t="shared" si="96"/>
        <v>4.3299999999999998E-2</v>
      </c>
      <c r="EU16" s="7">
        <f t="shared" si="96"/>
        <v>4.3299999999999998E-2</v>
      </c>
      <c r="EV16" s="7">
        <f t="shared" si="96"/>
        <v>4.3299999999999998E-2</v>
      </c>
      <c r="EW16" s="7">
        <f t="shared" si="96"/>
        <v>4.3299999999999998E-2</v>
      </c>
      <c r="EX16" s="7">
        <f t="shared" si="96"/>
        <v>4.3299999999999998E-2</v>
      </c>
      <c r="EY16" s="7">
        <f t="shared" si="96"/>
        <v>4.3299999999999998E-2</v>
      </c>
      <c r="EZ16" s="33">
        <f t="shared" si="96"/>
        <v>0.13123599999999999</v>
      </c>
      <c r="FA16" s="7">
        <f>FA15+FA13*FA14</f>
        <v>4.6505999999999999E-2</v>
      </c>
      <c r="FB16" s="7">
        <f t="shared" ref="FB16:HN16" si="97">FB15+FB13*FB14</f>
        <v>0.111542</v>
      </c>
      <c r="FC16" s="7">
        <f t="shared" si="97"/>
        <v>5.7956000000000001E-2</v>
      </c>
      <c r="FD16" s="7">
        <f t="shared" si="97"/>
        <v>0.14818200000000001</v>
      </c>
      <c r="FE16" s="7">
        <f t="shared" si="97"/>
        <v>0.15917399999999998</v>
      </c>
      <c r="FF16" s="7">
        <f t="shared" si="97"/>
        <v>0.13215199999999999</v>
      </c>
      <c r="FG16" s="7">
        <f t="shared" si="97"/>
        <v>4.3299999999999998E-2</v>
      </c>
      <c r="FH16" s="7">
        <f t="shared" si="97"/>
        <v>8.8641999999999999E-2</v>
      </c>
      <c r="FI16" s="7">
        <f t="shared" si="97"/>
        <v>0.179784</v>
      </c>
      <c r="FJ16" s="7">
        <f t="shared" si="97"/>
        <v>0.10971</v>
      </c>
      <c r="FK16" s="7">
        <f t="shared" si="97"/>
        <v>0.11108399999999999</v>
      </c>
      <c r="FL16" s="7">
        <f t="shared" si="97"/>
        <v>8.2229999999999998E-2</v>
      </c>
      <c r="FM16" s="7">
        <f t="shared" si="97"/>
        <v>8.7725999999999998E-2</v>
      </c>
      <c r="FN16" s="33">
        <f t="shared" si="97"/>
        <v>0.13489999999999999</v>
      </c>
      <c r="FO16" s="7">
        <f t="shared" si="97"/>
        <v>6.1161999999999994E-2</v>
      </c>
      <c r="FP16" s="7">
        <f t="shared" si="97"/>
        <v>5.7498E-2</v>
      </c>
      <c r="FQ16" s="7">
        <f t="shared" si="97"/>
        <v>0.115206</v>
      </c>
      <c r="FR16" s="7">
        <f t="shared" si="97"/>
        <v>0.12115999999999999</v>
      </c>
      <c r="FS16" s="7">
        <f t="shared" si="97"/>
        <v>9.3679999999999999E-2</v>
      </c>
      <c r="FT16" s="7">
        <f t="shared" si="97"/>
        <v>7.2611999999999996E-2</v>
      </c>
      <c r="FU16" s="7">
        <f t="shared" si="97"/>
        <v>0.13581599999999999</v>
      </c>
      <c r="FV16" s="7">
        <f t="shared" si="97"/>
        <v>9.9634E-2</v>
      </c>
      <c r="FW16" s="7">
        <f t="shared" si="97"/>
        <v>0.12986200000000001</v>
      </c>
      <c r="FX16" s="7">
        <f t="shared" si="97"/>
        <v>9.6886E-2</v>
      </c>
      <c r="FY16" s="7">
        <f t="shared" si="97"/>
        <v>8.6809999999999998E-2</v>
      </c>
      <c r="FZ16" s="7">
        <f t="shared" si="97"/>
        <v>0.103298</v>
      </c>
      <c r="GA16" s="7">
        <f t="shared" si="97"/>
        <v>4.3299999999999998E-2</v>
      </c>
      <c r="GB16" s="7">
        <f t="shared" si="97"/>
        <v>7.2153999999999996E-2</v>
      </c>
      <c r="GC16" s="7">
        <f t="shared" si="97"/>
        <v>9.6886E-2</v>
      </c>
      <c r="GD16" s="7">
        <f t="shared" si="97"/>
        <v>8.3603999999999998E-2</v>
      </c>
      <c r="GE16" s="7">
        <f t="shared" si="97"/>
        <v>0.163296</v>
      </c>
      <c r="GF16" s="7">
        <f t="shared" si="97"/>
        <v>4.3299999999999998E-2</v>
      </c>
      <c r="GG16" s="7">
        <f t="shared" si="97"/>
        <v>9.2763999999999999E-2</v>
      </c>
      <c r="GH16" s="7">
        <f t="shared" si="97"/>
        <v>0.103756</v>
      </c>
      <c r="GI16" s="7">
        <f t="shared" si="97"/>
        <v>0.13169400000000001</v>
      </c>
      <c r="GJ16" s="7">
        <f t="shared" si="97"/>
        <v>7.2611999999999996E-2</v>
      </c>
      <c r="GK16" s="7">
        <f t="shared" si="97"/>
        <v>5.6581999999999993E-2</v>
      </c>
      <c r="GL16" s="7">
        <f t="shared" si="97"/>
        <v>0.13077800000000001</v>
      </c>
      <c r="GM16" s="7">
        <f t="shared" si="97"/>
        <v>9.5511999999999986E-2</v>
      </c>
      <c r="GN16" s="7">
        <f t="shared" si="97"/>
        <v>8.5435999999999998E-2</v>
      </c>
      <c r="GO16" s="7">
        <f t="shared" si="97"/>
        <v>9.0931999999999999E-2</v>
      </c>
      <c r="GP16" s="7">
        <f t="shared" si="97"/>
        <v>0.11429</v>
      </c>
      <c r="GQ16" s="7">
        <f t="shared" si="97"/>
        <v>8.3603999999999998E-2</v>
      </c>
      <c r="GR16" s="7">
        <f t="shared" si="97"/>
        <v>4.4673999999999998E-2</v>
      </c>
      <c r="GS16" s="7">
        <f t="shared" si="97"/>
        <v>8.4061999999999998E-2</v>
      </c>
      <c r="GT16" s="7">
        <f t="shared" si="97"/>
        <v>4.3299999999999998E-2</v>
      </c>
      <c r="GU16" s="7">
        <f t="shared" si="97"/>
        <v>4.3299999999999998E-2</v>
      </c>
      <c r="GV16" s="7">
        <f t="shared" si="97"/>
        <v>4.3299999999999998E-2</v>
      </c>
      <c r="GW16" s="7">
        <f t="shared" si="97"/>
        <v>4.3299999999999998E-2</v>
      </c>
      <c r="GX16" s="7">
        <f t="shared" si="97"/>
        <v>4.3299999999999998E-2</v>
      </c>
      <c r="GY16" s="7">
        <f t="shared" si="97"/>
        <v>4.3299999999999998E-2</v>
      </c>
      <c r="GZ16" s="7">
        <f t="shared" si="97"/>
        <v>4.3299999999999998E-2</v>
      </c>
      <c r="HA16" s="7">
        <f t="shared" si="97"/>
        <v>4.3299999999999998E-2</v>
      </c>
      <c r="HB16" s="7">
        <f t="shared" si="97"/>
        <v>9.7343999999999986E-2</v>
      </c>
      <c r="HC16" s="7">
        <f t="shared" si="97"/>
        <v>9.4137999999999999E-2</v>
      </c>
      <c r="HD16" s="7">
        <f t="shared" si="97"/>
        <v>0.13856399999999999</v>
      </c>
      <c r="HE16" s="7">
        <f t="shared" si="97"/>
        <v>7.9481999999999997E-2</v>
      </c>
      <c r="HF16" s="7">
        <f t="shared" si="97"/>
        <v>9.1389999999999999E-2</v>
      </c>
      <c r="HG16" s="7">
        <f t="shared" si="97"/>
        <v>6.6199999999999995E-2</v>
      </c>
      <c r="HH16" s="7">
        <f t="shared" si="97"/>
        <v>0.103756</v>
      </c>
      <c r="HI16" s="7">
        <f t="shared" si="97"/>
        <v>0.125282</v>
      </c>
      <c r="HJ16" s="7">
        <f t="shared" si="97"/>
        <v>4.3299999999999998E-2</v>
      </c>
      <c r="HK16" s="7">
        <f t="shared" si="97"/>
        <v>9.9176E-2</v>
      </c>
      <c r="HL16" s="7">
        <f t="shared" si="97"/>
        <v>0.100092</v>
      </c>
      <c r="HM16" s="7">
        <f t="shared" si="97"/>
        <v>9.5511999999999986E-2</v>
      </c>
      <c r="HN16" s="7">
        <f t="shared" si="97"/>
        <v>0.10284</v>
      </c>
      <c r="HO16" s="7">
        <f t="shared" ref="HO16:HY16" si="98">HO15+HO13*HO14</f>
        <v>0.13031999999999999</v>
      </c>
      <c r="HP16" s="7">
        <f t="shared" si="98"/>
        <v>0.14635000000000001</v>
      </c>
      <c r="HQ16" s="7">
        <f t="shared" si="98"/>
        <v>0.11749600000000002</v>
      </c>
      <c r="HR16" s="7">
        <f t="shared" si="98"/>
        <v>0.112458</v>
      </c>
      <c r="HS16" s="7">
        <f t="shared" si="98"/>
        <v>9.597E-2</v>
      </c>
      <c r="HT16" s="7">
        <f t="shared" si="98"/>
        <v>0.101008</v>
      </c>
      <c r="HU16" s="7">
        <f t="shared" si="98"/>
        <v>0.125282</v>
      </c>
      <c r="HV16" s="7">
        <f t="shared" si="98"/>
        <v>0.196272</v>
      </c>
      <c r="HW16" s="7">
        <f t="shared" si="98"/>
        <v>0.14589200000000002</v>
      </c>
      <c r="HX16" s="7">
        <f t="shared" si="98"/>
        <v>0.10650399999999999</v>
      </c>
      <c r="HY16" s="7">
        <f t="shared" si="98"/>
        <v>0.11199999999999999</v>
      </c>
    </row>
    <row r="17" spans="1:233" hidden="1" x14ac:dyDescent="0.5">
      <c r="A17" s="5"/>
      <c r="B17" s="7"/>
      <c r="C17" s="7">
        <f t="shared" ref="C17" si="99">C16+C14*C15</f>
        <v>0.254467</v>
      </c>
      <c r="D17" s="16"/>
      <c r="E17" s="16"/>
      <c r="F17" s="7">
        <f>F16+F14*F15</f>
        <v>0.26337700000000003</v>
      </c>
      <c r="G17" s="16"/>
      <c r="H17" s="16"/>
      <c r="I17" s="16"/>
      <c r="J17" s="16"/>
      <c r="K17" s="7">
        <f>K16+K14*K15</f>
        <v>0.14220099999999999</v>
      </c>
      <c r="L17" s="16"/>
      <c r="M17" s="16"/>
      <c r="N17" s="16"/>
      <c r="AB17" s="16"/>
      <c r="AF17" s="16"/>
      <c r="AH17" s="16"/>
      <c r="BE17" s="35"/>
      <c r="BK17" s="16"/>
      <c r="BL17" s="16"/>
      <c r="FA17" s="16"/>
      <c r="FO17" s="16"/>
      <c r="GD17" s="16"/>
      <c r="GJ17" s="16"/>
    </row>
    <row r="18" spans="1:233" x14ac:dyDescent="0.5">
      <c r="A18" s="13" t="s">
        <v>15</v>
      </c>
      <c r="B18" s="3">
        <v>-13.13</v>
      </c>
      <c r="C18" s="16">
        <v>117.4</v>
      </c>
      <c r="D18" s="16">
        <v>0.66</v>
      </c>
      <c r="E18" s="16">
        <v>-15.35</v>
      </c>
      <c r="F18" s="16">
        <v>-9.4600000000000009</v>
      </c>
      <c r="G18" s="16">
        <v>-17.16</v>
      </c>
      <c r="H18" s="16">
        <v>-6.55</v>
      </c>
      <c r="I18" s="16">
        <v>10.38</v>
      </c>
      <c r="J18" s="16">
        <v>20.32</v>
      </c>
      <c r="K18" s="27">
        <v>45.93</v>
      </c>
      <c r="L18" s="16">
        <v>10.87</v>
      </c>
      <c r="M18" s="16">
        <v>19.579999999999998</v>
      </c>
      <c r="N18" s="16">
        <v>22</v>
      </c>
      <c r="O18" s="11">
        <v>3.35</v>
      </c>
      <c r="P18" s="11">
        <v>20.36</v>
      </c>
      <c r="Q18" s="11">
        <v>7.15</v>
      </c>
      <c r="S18" s="11">
        <v>29.95</v>
      </c>
      <c r="T18" s="11">
        <v>11.58</v>
      </c>
      <c r="U18" s="11">
        <v>9.61</v>
      </c>
      <c r="V18" s="11">
        <v>26.98</v>
      </c>
      <c r="W18" s="11">
        <v>43.91</v>
      </c>
      <c r="X18" s="11">
        <v>7.41</v>
      </c>
      <c r="Y18" s="11">
        <v>18.75</v>
      </c>
      <c r="Z18" s="11">
        <v>9.02</v>
      </c>
      <c r="AA18" s="11">
        <v>32.979999999999997</v>
      </c>
      <c r="AB18" s="16">
        <v>34.15</v>
      </c>
      <c r="AC18" s="11">
        <v>13.28</v>
      </c>
      <c r="AD18" s="11">
        <v>17.86</v>
      </c>
      <c r="AF18" s="16">
        <v>18.5</v>
      </c>
      <c r="AG18" s="11">
        <v>3.07</v>
      </c>
      <c r="AH18" s="16">
        <v>6.99</v>
      </c>
      <c r="AI18" s="11">
        <v>18.96</v>
      </c>
      <c r="AJ18" s="11">
        <v>15.36</v>
      </c>
      <c r="AK18" s="11">
        <v>15.5</v>
      </c>
      <c r="AL18" s="11">
        <v>6.61</v>
      </c>
      <c r="AM18" s="11">
        <v>12.14</v>
      </c>
      <c r="AN18" s="11">
        <v>11.95</v>
      </c>
      <c r="AO18" s="11">
        <v>9.9499999999999993</v>
      </c>
      <c r="AP18" s="11">
        <v>8.94</v>
      </c>
      <c r="AQ18" s="11">
        <v>10.15</v>
      </c>
      <c r="AS18" s="11">
        <v>12.36</v>
      </c>
      <c r="AT18" s="11">
        <v>3.6</v>
      </c>
      <c r="AU18" s="11">
        <v>5.91</v>
      </c>
      <c r="AV18" s="11">
        <v>13.08</v>
      </c>
      <c r="AZ18" s="11">
        <v>24.2</v>
      </c>
      <c r="BA18" s="11">
        <v>6.77</v>
      </c>
      <c r="BB18" s="11">
        <v>7.33</v>
      </c>
      <c r="BC18" s="11">
        <v>19.72</v>
      </c>
      <c r="BD18" s="11">
        <v>20.82</v>
      </c>
      <c r="BE18" s="35">
        <v>28.73</v>
      </c>
      <c r="BF18" s="11">
        <v>12.03</v>
      </c>
      <c r="BG18" s="11">
        <v>-12.39</v>
      </c>
      <c r="BH18" s="11">
        <v>7.64</v>
      </c>
      <c r="BI18" s="11">
        <v>30.47</v>
      </c>
      <c r="BJ18" s="11">
        <v>-0.68</v>
      </c>
      <c r="BK18" s="16">
        <v>24.09</v>
      </c>
      <c r="BL18" s="16">
        <v>12.02</v>
      </c>
      <c r="BM18" s="11">
        <v>9.0500000000000007</v>
      </c>
      <c r="BN18" s="11">
        <v>9.0299999999999994</v>
      </c>
      <c r="BO18" s="11">
        <v>7.31</v>
      </c>
      <c r="BP18" s="11">
        <v>5.86</v>
      </c>
      <c r="BQ18" s="11">
        <v>20.37</v>
      </c>
      <c r="BR18" s="11">
        <v>14.86</v>
      </c>
      <c r="BS18" s="11">
        <v>45.95</v>
      </c>
      <c r="BU18" s="11">
        <v>41.42</v>
      </c>
      <c r="BV18" s="11">
        <v>5.78</v>
      </c>
      <c r="BW18" s="11">
        <v>10.84</v>
      </c>
      <c r="BX18" s="11">
        <v>8.51</v>
      </c>
      <c r="BY18" s="11">
        <v>9.14</v>
      </c>
      <c r="BZ18" s="11">
        <v>12.83</v>
      </c>
      <c r="CA18" s="11">
        <v>18.02</v>
      </c>
      <c r="CD18" s="11">
        <v>9</v>
      </c>
      <c r="CE18" s="11">
        <v>7.92</v>
      </c>
      <c r="CF18" s="11">
        <v>5.92</v>
      </c>
      <c r="CG18" s="11">
        <v>3.18</v>
      </c>
      <c r="CI18" s="11">
        <v>10.56</v>
      </c>
      <c r="CK18" s="11">
        <v>18.37</v>
      </c>
      <c r="CL18" s="11">
        <v>29.96</v>
      </c>
      <c r="CN18" s="11">
        <v>21.34</v>
      </c>
      <c r="CO18" s="11">
        <v>7.14</v>
      </c>
      <c r="CP18" s="11">
        <v>8.4499999999999993</v>
      </c>
      <c r="CQ18" s="11">
        <v>19.079999999999998</v>
      </c>
      <c r="CR18" s="11">
        <v>43.52</v>
      </c>
      <c r="CS18" s="11">
        <v>11.45</v>
      </c>
      <c r="CT18" s="11">
        <v>18.41</v>
      </c>
      <c r="CU18" s="11">
        <v>12.65</v>
      </c>
      <c r="CW18" s="11">
        <v>7.95</v>
      </c>
      <c r="CX18" s="11">
        <v>4.67</v>
      </c>
      <c r="CY18" s="11">
        <v>6.85</v>
      </c>
      <c r="CZ18" s="11">
        <v>15.93</v>
      </c>
      <c r="DA18" s="11">
        <v>10.8</v>
      </c>
      <c r="DB18" s="11">
        <v>13.48</v>
      </c>
      <c r="DC18" s="11">
        <v>18.8</v>
      </c>
      <c r="DD18" s="11">
        <v>-4.08</v>
      </c>
      <c r="DF18" s="11">
        <v>12.83</v>
      </c>
      <c r="DG18" s="11">
        <v>14.79</v>
      </c>
      <c r="DH18" s="11">
        <v>7.04</v>
      </c>
      <c r="DI18" s="11">
        <v>-0.04</v>
      </c>
      <c r="DJ18" s="11">
        <v>15.61</v>
      </c>
      <c r="DM18" s="11">
        <v>27.15</v>
      </c>
      <c r="DN18" s="11">
        <v>9.08</v>
      </c>
      <c r="DO18" s="11">
        <v>7.76</v>
      </c>
      <c r="DP18" s="11">
        <v>12.6</v>
      </c>
      <c r="DQ18" s="11">
        <v>24.12</v>
      </c>
      <c r="DR18" s="11">
        <v>2.0699999999999998</v>
      </c>
      <c r="DS18" s="11">
        <v>22.56</v>
      </c>
      <c r="DT18" s="11">
        <v>15.27</v>
      </c>
      <c r="DU18" s="11">
        <v>4.42</v>
      </c>
      <c r="DV18" s="11">
        <v>9.7100000000000009</v>
      </c>
      <c r="DW18" s="11">
        <v>5.7530000000000001</v>
      </c>
      <c r="DX18" s="11">
        <v>6.25</v>
      </c>
      <c r="DZ18" s="11">
        <v>2.61</v>
      </c>
      <c r="EA18" s="11">
        <v>7.24</v>
      </c>
      <c r="EB18" s="11">
        <v>5.4</v>
      </c>
      <c r="EC18" s="11">
        <v>10.35</v>
      </c>
      <c r="EE18" s="11">
        <v>7.96</v>
      </c>
      <c r="EF18" s="11">
        <v>3.81</v>
      </c>
      <c r="EG18" s="11">
        <v>9.39</v>
      </c>
      <c r="EH18" s="11">
        <v>22.84</v>
      </c>
      <c r="EI18" s="11">
        <v>16.18</v>
      </c>
      <c r="EJ18" s="11">
        <v>3.17</v>
      </c>
      <c r="EL18" s="11">
        <v>11.34</v>
      </c>
      <c r="EM18" s="11">
        <v>11.38</v>
      </c>
      <c r="EN18" s="11">
        <v>53.55</v>
      </c>
      <c r="EO18" s="11">
        <v>3.17</v>
      </c>
      <c r="EQ18" s="11">
        <v>15.51</v>
      </c>
      <c r="EZ18" s="11">
        <v>2.7</v>
      </c>
      <c r="FA18" s="16">
        <v>11.27</v>
      </c>
      <c r="FB18" s="11">
        <v>11.04</v>
      </c>
      <c r="FC18" s="11">
        <v>9.59</v>
      </c>
      <c r="FD18" s="11">
        <v>2.0299999999999998</v>
      </c>
      <c r="FE18" s="11">
        <v>6.76</v>
      </c>
      <c r="FG18" s="11">
        <v>2.0699999999999998</v>
      </c>
      <c r="FH18" s="11">
        <v>4.7300000000000004</v>
      </c>
      <c r="FI18" s="11">
        <v>2.59</v>
      </c>
      <c r="FJ18" s="11">
        <v>0.78</v>
      </c>
      <c r="FK18" s="11">
        <v>5.82</v>
      </c>
      <c r="FL18" s="11">
        <v>-5.93</v>
      </c>
      <c r="FM18" s="11">
        <v>8.4499999999999993</v>
      </c>
      <c r="FN18" s="11">
        <v>0.38</v>
      </c>
      <c r="FO18" s="16">
        <v>13.47</v>
      </c>
      <c r="FP18" s="11">
        <v>12.94</v>
      </c>
      <c r="FQ18" s="11">
        <v>7.21</v>
      </c>
      <c r="FR18" s="11">
        <v>4.5199999999999996</v>
      </c>
      <c r="FS18" s="11">
        <v>6.28</v>
      </c>
      <c r="FT18" s="11">
        <v>5.86</v>
      </c>
      <c r="FU18" s="11">
        <v>18.760000000000002</v>
      </c>
      <c r="FV18" s="11">
        <v>-0.65</v>
      </c>
      <c r="FW18" s="11">
        <v>10.61</v>
      </c>
      <c r="FX18" s="11">
        <v>5.87</v>
      </c>
      <c r="FY18" s="11">
        <v>-1.33</v>
      </c>
      <c r="FZ18" s="11">
        <v>4.78</v>
      </c>
      <c r="GA18" s="11">
        <v>7.08</v>
      </c>
      <c r="GB18" s="11">
        <v>4.79</v>
      </c>
      <c r="GC18" s="11">
        <v>5.5</v>
      </c>
      <c r="GD18" s="16">
        <v>18.28</v>
      </c>
      <c r="GE18" s="11">
        <v>10.35</v>
      </c>
      <c r="GF18" s="11">
        <v>6.08</v>
      </c>
      <c r="GG18" s="11">
        <v>-18.54</v>
      </c>
      <c r="GH18" s="11">
        <v>14.82</v>
      </c>
      <c r="GI18" s="11">
        <v>-3.3</v>
      </c>
      <c r="GJ18" s="16">
        <v>14.46</v>
      </c>
      <c r="GK18" s="11">
        <v>8.9499999999999993</v>
      </c>
      <c r="GL18" s="11">
        <v>9.59</v>
      </c>
      <c r="GM18" s="11">
        <v>3.9</v>
      </c>
      <c r="GN18" s="11">
        <v>3.73</v>
      </c>
      <c r="GO18" s="11">
        <v>-2.5</v>
      </c>
      <c r="GP18" s="11">
        <v>3.32</v>
      </c>
      <c r="GQ18" s="11">
        <v>8.66</v>
      </c>
      <c r="GR18" s="11">
        <v>2.44</v>
      </c>
      <c r="GS18" s="11">
        <v>-3.56</v>
      </c>
      <c r="HB18" s="11">
        <v>3.58</v>
      </c>
      <c r="HC18" s="11">
        <v>31.22</v>
      </c>
      <c r="HD18" s="11">
        <v>20.239999999999998</v>
      </c>
      <c r="HE18" s="11">
        <v>9.2100000000000009</v>
      </c>
      <c r="HF18" s="11">
        <v>8.41</v>
      </c>
      <c r="HG18" s="11">
        <v>-3.57</v>
      </c>
      <c r="HH18" s="11">
        <v>5.52</v>
      </c>
      <c r="HI18" s="11">
        <v>53.1</v>
      </c>
      <c r="HK18" s="11">
        <v>28.32</v>
      </c>
      <c r="HL18" s="11">
        <v>7.32</v>
      </c>
      <c r="HM18" s="11">
        <v>8.39</v>
      </c>
      <c r="HN18" s="11">
        <v>19.05</v>
      </c>
      <c r="HO18" s="11">
        <v>6.71</v>
      </c>
      <c r="HP18" s="11">
        <v>6.91</v>
      </c>
      <c r="HQ18" s="11">
        <v>6.04</v>
      </c>
      <c r="HR18" s="11">
        <v>6.07</v>
      </c>
      <c r="HS18" s="11">
        <v>3.36</v>
      </c>
      <c r="HT18" s="11">
        <v>9.5</v>
      </c>
      <c r="HU18" s="11">
        <v>24.8</v>
      </c>
      <c r="HV18" s="11">
        <v>13.97</v>
      </c>
      <c r="HW18" s="11">
        <v>117.4</v>
      </c>
      <c r="HX18" s="11">
        <v>20.9</v>
      </c>
      <c r="HY18" s="11">
        <v>42.1</v>
      </c>
    </row>
    <row r="19" spans="1:233" x14ac:dyDescent="0.5">
      <c r="A19" s="17" t="s">
        <v>16</v>
      </c>
      <c r="B19" s="3">
        <v>7.68</v>
      </c>
      <c r="C19" s="16">
        <v>10.76</v>
      </c>
      <c r="D19" s="26"/>
      <c r="E19" s="26"/>
      <c r="F19" s="16">
        <v>7.68</v>
      </c>
      <c r="G19" s="26"/>
      <c r="H19" s="16"/>
      <c r="I19" s="26"/>
      <c r="J19" s="26"/>
      <c r="K19" s="28"/>
      <c r="L19" s="16">
        <v>10.76</v>
      </c>
      <c r="M19" s="26"/>
      <c r="N19" s="16"/>
      <c r="P19" s="16">
        <v>10.76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36"/>
      <c r="BE19" s="16"/>
      <c r="BF19" s="39"/>
      <c r="BG19" s="16"/>
      <c r="BH19" s="16"/>
      <c r="BI19" s="16"/>
      <c r="BJ19" s="3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FA19" s="16"/>
      <c r="FO19" s="16"/>
      <c r="GD19" s="16"/>
      <c r="GJ19" s="16"/>
    </row>
    <row r="20" spans="1:233" x14ac:dyDescent="0.5">
      <c r="A20" s="13" t="s">
        <v>17</v>
      </c>
      <c r="B20" s="3">
        <v>56.66</v>
      </c>
      <c r="C20" s="16">
        <v>18.690000000000001</v>
      </c>
      <c r="D20" s="16">
        <v>28.54</v>
      </c>
      <c r="E20" s="16">
        <v>5258.51</v>
      </c>
      <c r="F20" s="16">
        <v>1.96</v>
      </c>
      <c r="G20" s="16">
        <v>97.98</v>
      </c>
      <c r="H20" s="16">
        <v>99.18</v>
      </c>
      <c r="I20" s="16">
        <v>3.83</v>
      </c>
      <c r="J20" s="16">
        <v>8.75</v>
      </c>
      <c r="K20" s="27">
        <v>9.6999999999999993</v>
      </c>
      <c r="L20" s="16">
        <v>27.59</v>
      </c>
      <c r="M20" s="16">
        <v>13.01</v>
      </c>
      <c r="N20" s="16">
        <v>8.35</v>
      </c>
      <c r="O20" s="11">
        <v>15.02</v>
      </c>
      <c r="P20" s="11">
        <v>10.25</v>
      </c>
      <c r="Q20" s="11">
        <v>2.86</v>
      </c>
      <c r="R20" s="11">
        <v>5.25</v>
      </c>
      <c r="S20" s="11">
        <v>14.17</v>
      </c>
      <c r="T20" s="11">
        <v>1.18</v>
      </c>
      <c r="U20" s="11">
        <v>11.59</v>
      </c>
      <c r="V20" s="11">
        <v>14.44</v>
      </c>
      <c r="W20" s="11">
        <v>16</v>
      </c>
      <c r="X20" s="11">
        <v>16.62</v>
      </c>
      <c r="Y20" s="11">
        <v>10.78</v>
      </c>
      <c r="Z20" s="11">
        <v>105.54</v>
      </c>
      <c r="AA20" s="11">
        <v>10.62</v>
      </c>
      <c r="AB20" s="16">
        <v>6.34</v>
      </c>
      <c r="AC20" s="11">
        <v>4.88</v>
      </c>
      <c r="AD20" s="11">
        <v>1.49</v>
      </c>
      <c r="AE20" s="11">
        <v>4</v>
      </c>
      <c r="AF20" s="16">
        <v>6.5</v>
      </c>
      <c r="AG20" s="11">
        <v>12.05</v>
      </c>
      <c r="AH20" s="16">
        <v>2.79</v>
      </c>
      <c r="AI20" s="11">
        <v>2.2200000000000002</v>
      </c>
      <c r="AJ20" s="11">
        <v>4.04</v>
      </c>
      <c r="AK20" s="11">
        <v>7.42</v>
      </c>
      <c r="AL20" s="11">
        <v>1.45</v>
      </c>
      <c r="AM20" s="11">
        <v>6.24</v>
      </c>
      <c r="AN20" s="11">
        <v>6.84</v>
      </c>
      <c r="AO20" s="11">
        <v>4.4400000000000004</v>
      </c>
      <c r="AP20" s="11">
        <v>0.67</v>
      </c>
      <c r="AQ20" s="11">
        <v>4.99</v>
      </c>
      <c r="AR20" s="11">
        <v>3.54</v>
      </c>
      <c r="AS20" s="11">
        <v>4.17</v>
      </c>
      <c r="AT20" s="11">
        <v>0.8</v>
      </c>
      <c r="AU20" s="11">
        <v>2.73</v>
      </c>
      <c r="AV20" s="11">
        <v>4.49</v>
      </c>
      <c r="AW20" s="11">
        <v>3.76</v>
      </c>
      <c r="AX20" s="11">
        <v>3.91</v>
      </c>
      <c r="AY20" s="11">
        <v>4.3499999999999996</v>
      </c>
      <c r="AZ20" s="11">
        <v>5.83</v>
      </c>
      <c r="BA20" s="11">
        <v>2.67</v>
      </c>
      <c r="BB20" s="11">
        <v>5.8</v>
      </c>
      <c r="BC20" s="11">
        <v>4.29</v>
      </c>
      <c r="BD20" s="11">
        <v>6.62</v>
      </c>
      <c r="BE20" s="35">
        <v>10.57</v>
      </c>
      <c r="BF20" s="11">
        <v>8.5</v>
      </c>
      <c r="BG20" s="11">
        <v>1.83</v>
      </c>
      <c r="BH20" s="11">
        <v>37.880000000000003</v>
      </c>
      <c r="BI20" s="11">
        <v>12.76</v>
      </c>
      <c r="BJ20" s="11">
        <v>3.06</v>
      </c>
      <c r="BK20" s="16">
        <v>2.75</v>
      </c>
      <c r="BL20" s="16">
        <v>9.7200000000000006</v>
      </c>
      <c r="BM20" s="11">
        <v>15.19</v>
      </c>
      <c r="BN20" s="11">
        <v>5.0199999999999996</v>
      </c>
      <c r="BO20" s="11">
        <v>0.81</v>
      </c>
      <c r="BP20" s="11">
        <v>4.96</v>
      </c>
      <c r="BQ20" s="11">
        <v>3.38</v>
      </c>
      <c r="BR20" s="11">
        <v>8.15</v>
      </c>
      <c r="BS20" s="11">
        <v>33.32</v>
      </c>
      <c r="BT20" s="11">
        <v>4.68</v>
      </c>
      <c r="BU20" s="11">
        <v>4.05</v>
      </c>
      <c r="BV20" s="11">
        <v>2.12</v>
      </c>
      <c r="BW20" s="11">
        <v>20.81</v>
      </c>
      <c r="BX20" s="11">
        <v>18.46</v>
      </c>
      <c r="BY20" s="11">
        <v>5.92</v>
      </c>
      <c r="BZ20" s="11">
        <v>2.12</v>
      </c>
      <c r="CA20" s="11">
        <v>3.3</v>
      </c>
      <c r="CB20" s="11">
        <v>2.42</v>
      </c>
      <c r="CC20" s="11">
        <v>8.86</v>
      </c>
      <c r="CD20" s="11">
        <v>14.08</v>
      </c>
      <c r="CE20" s="11">
        <v>7.33</v>
      </c>
      <c r="CF20" s="11">
        <v>1.44</v>
      </c>
      <c r="CG20" s="11">
        <v>6.57</v>
      </c>
      <c r="CH20" s="11">
        <v>7.56</v>
      </c>
      <c r="CI20" s="11">
        <v>4.79</v>
      </c>
      <c r="CK20" s="11">
        <v>8.0500000000000007</v>
      </c>
      <c r="CL20" s="11">
        <v>6.21</v>
      </c>
      <c r="CM20" s="11">
        <v>5.68</v>
      </c>
      <c r="CN20" s="11">
        <v>20.059999999999999</v>
      </c>
      <c r="CO20" s="11">
        <v>1.23</v>
      </c>
      <c r="CP20" s="11">
        <v>1.84</v>
      </c>
      <c r="CQ20" s="11">
        <v>2.8</v>
      </c>
      <c r="CR20" s="11">
        <v>6.19</v>
      </c>
      <c r="CS20" s="11">
        <v>4.1900000000000004</v>
      </c>
      <c r="CT20" s="11">
        <v>2.2000000000000002</v>
      </c>
      <c r="CU20" s="11">
        <v>2.16</v>
      </c>
      <c r="CV20" s="11">
        <v>2.54</v>
      </c>
      <c r="CW20" s="11">
        <v>10.14</v>
      </c>
      <c r="CX20" s="11">
        <v>6.2</v>
      </c>
      <c r="CY20" s="11">
        <v>7.64</v>
      </c>
      <c r="CZ20" s="11">
        <v>5.09</v>
      </c>
      <c r="DA20" s="11">
        <v>5.49</v>
      </c>
      <c r="DB20" s="11">
        <v>1.46</v>
      </c>
      <c r="DC20" s="11">
        <v>1</v>
      </c>
      <c r="DD20" s="11">
        <v>30.8</v>
      </c>
      <c r="DE20" s="11">
        <v>27.44</v>
      </c>
      <c r="DF20" s="11">
        <v>2.65</v>
      </c>
      <c r="DG20" s="11">
        <v>4.08</v>
      </c>
      <c r="DH20" s="11">
        <v>2.21</v>
      </c>
      <c r="DI20" s="11">
        <v>18.239999999999998</v>
      </c>
      <c r="DJ20" s="11">
        <v>2.74</v>
      </c>
      <c r="DK20" s="11">
        <v>3.61</v>
      </c>
      <c r="DL20" s="11">
        <v>3.02</v>
      </c>
      <c r="DM20" s="11">
        <v>6.1</v>
      </c>
      <c r="DN20" s="11">
        <v>5.58</v>
      </c>
      <c r="DO20" s="11">
        <v>0.73</v>
      </c>
      <c r="DP20" s="11">
        <v>5.4</v>
      </c>
      <c r="DQ20" s="11">
        <v>1.57</v>
      </c>
      <c r="DR20" s="11">
        <v>12.47</v>
      </c>
      <c r="DS20" s="11">
        <v>1.5</v>
      </c>
      <c r="DT20" s="11">
        <v>6.37</v>
      </c>
      <c r="DU20" s="11">
        <v>2.87</v>
      </c>
      <c r="DV20" s="11">
        <v>3.07</v>
      </c>
      <c r="DW20" s="11">
        <v>2.1</v>
      </c>
      <c r="DX20" s="11">
        <v>2.23</v>
      </c>
      <c r="DY20" s="11">
        <v>2.48</v>
      </c>
      <c r="DZ20" s="11">
        <v>12.8</v>
      </c>
      <c r="EA20" s="11">
        <v>3.37</v>
      </c>
      <c r="EB20" s="11">
        <v>3.46</v>
      </c>
      <c r="EC20" s="11">
        <v>2.1800000000000002</v>
      </c>
      <c r="ED20" s="11">
        <v>3.14</v>
      </c>
      <c r="EE20" s="11">
        <v>1.96</v>
      </c>
      <c r="EF20" s="11">
        <v>10.91</v>
      </c>
      <c r="EG20" s="11">
        <v>4.5199999999999996</v>
      </c>
      <c r="EH20" s="11">
        <v>8.98</v>
      </c>
      <c r="EI20" s="11">
        <v>1.56</v>
      </c>
      <c r="EJ20" s="11">
        <v>1.34</v>
      </c>
      <c r="EK20" s="11">
        <v>4.84</v>
      </c>
      <c r="EL20" s="11">
        <v>1.77</v>
      </c>
      <c r="EM20" s="11">
        <v>5.38</v>
      </c>
      <c r="EN20" s="11">
        <v>0.28000000000000003</v>
      </c>
      <c r="EO20" s="11">
        <v>1.34</v>
      </c>
      <c r="EQ20" s="11">
        <v>8.9600000000000009</v>
      </c>
      <c r="EZ20" s="11">
        <v>10.87</v>
      </c>
      <c r="FA20" s="16">
        <v>1.42</v>
      </c>
      <c r="FB20" s="11">
        <v>2.2000000000000002</v>
      </c>
      <c r="FC20" s="11">
        <v>4.07</v>
      </c>
      <c r="FD20" s="11">
        <v>1.72</v>
      </c>
      <c r="FE20" s="11">
        <v>1.33</v>
      </c>
      <c r="FF20" s="11">
        <v>9.57</v>
      </c>
      <c r="FG20" s="11">
        <v>4.47</v>
      </c>
      <c r="FH20" s="11">
        <v>1.55</v>
      </c>
      <c r="FI20" s="11">
        <v>17.22</v>
      </c>
      <c r="FJ20" s="11">
        <v>7.2</v>
      </c>
      <c r="FK20" s="11">
        <v>1.1200000000000001</v>
      </c>
      <c r="FL20" s="11">
        <v>2.4</v>
      </c>
      <c r="FM20" s="11">
        <v>4.78</v>
      </c>
      <c r="FN20" s="11">
        <v>1.46</v>
      </c>
      <c r="FO20" s="16">
        <v>4.96</v>
      </c>
      <c r="FP20" s="11">
        <v>1.98</v>
      </c>
      <c r="FQ20" s="11">
        <v>4.5199999999999996</v>
      </c>
      <c r="FR20" s="11">
        <v>6.84</v>
      </c>
      <c r="FS20" s="11">
        <v>4.9000000000000004</v>
      </c>
      <c r="FT20" s="11">
        <v>6.28</v>
      </c>
      <c r="FU20" s="11">
        <v>7.05</v>
      </c>
      <c r="FV20" s="11">
        <v>20.52</v>
      </c>
      <c r="FW20" s="11">
        <v>5.59</v>
      </c>
      <c r="FX20" s="11">
        <v>1.55</v>
      </c>
      <c r="FY20" s="11">
        <v>6.7</v>
      </c>
      <c r="FZ20" s="11">
        <v>16.100000000000001</v>
      </c>
      <c r="GA20" s="11">
        <v>18.73</v>
      </c>
      <c r="GB20" s="11">
        <v>4.55</v>
      </c>
      <c r="GC20" s="11">
        <v>2.19</v>
      </c>
      <c r="GD20" s="16">
        <v>4.54</v>
      </c>
      <c r="GE20" s="11">
        <v>46.13</v>
      </c>
      <c r="GF20" s="11">
        <v>37.549999999999997</v>
      </c>
      <c r="GG20" s="11">
        <v>21.25</v>
      </c>
      <c r="GH20" s="11">
        <v>10.49</v>
      </c>
      <c r="GI20" s="11">
        <v>40.08</v>
      </c>
      <c r="GJ20" s="16">
        <v>7.67</v>
      </c>
      <c r="GK20" s="11">
        <v>1.37</v>
      </c>
      <c r="GL20" s="11">
        <v>3.96</v>
      </c>
      <c r="GM20" s="11">
        <v>6.69</v>
      </c>
      <c r="GN20" s="11">
        <v>0.43</v>
      </c>
      <c r="GO20" s="11">
        <v>18.48</v>
      </c>
      <c r="GP20" s="11">
        <v>6.11</v>
      </c>
      <c r="GQ20" s="11">
        <v>24.5</v>
      </c>
      <c r="GR20" s="11">
        <v>1.45</v>
      </c>
      <c r="GS20" s="11">
        <v>7.59</v>
      </c>
      <c r="HB20" s="11">
        <v>6.53</v>
      </c>
      <c r="HC20" s="11">
        <v>8.23</v>
      </c>
      <c r="HD20" s="11">
        <v>8.6999999999999993</v>
      </c>
      <c r="HE20" s="11">
        <v>6.85</v>
      </c>
      <c r="HF20" s="11">
        <v>8.1300000000000008</v>
      </c>
      <c r="HG20" s="11">
        <v>0.75</v>
      </c>
      <c r="HH20" s="11">
        <v>5.54</v>
      </c>
      <c r="HI20" s="11">
        <v>13.63</v>
      </c>
      <c r="HK20" s="11">
        <v>6.61</v>
      </c>
      <c r="HL20" s="11">
        <v>14.86</v>
      </c>
      <c r="HM20" s="11">
        <v>8.44</v>
      </c>
      <c r="HN20" s="11">
        <v>6.7</v>
      </c>
      <c r="HO20" s="11">
        <v>4.99</v>
      </c>
      <c r="HP20" s="11">
        <v>17.46</v>
      </c>
      <c r="HQ20" s="11">
        <v>4.58</v>
      </c>
      <c r="HR20" s="11">
        <v>1.02</v>
      </c>
      <c r="HS20" s="11">
        <v>1.1000000000000001</v>
      </c>
      <c r="HT20" s="11">
        <v>10.61</v>
      </c>
      <c r="HU20" s="11">
        <v>13.95</v>
      </c>
      <c r="HV20" s="11">
        <v>47.48</v>
      </c>
      <c r="HW20" s="11">
        <v>22.11</v>
      </c>
      <c r="HX20" s="11">
        <v>14.26</v>
      </c>
      <c r="HY20" s="11">
        <v>17.28</v>
      </c>
    </row>
    <row r="21" spans="1:233" hidden="1" x14ac:dyDescent="0.5">
      <c r="A21" s="5"/>
      <c r="B21" s="3"/>
      <c r="C21" s="16"/>
      <c r="D21" s="16"/>
      <c r="E21" s="16"/>
      <c r="F21" s="16"/>
      <c r="G21" s="16"/>
      <c r="H21" s="16"/>
      <c r="I21" s="16"/>
      <c r="J21" s="16"/>
      <c r="K21" s="27"/>
      <c r="L21" s="16"/>
      <c r="M21" s="16"/>
      <c r="N21" s="16"/>
      <c r="AB21" s="16"/>
      <c r="AF21" s="16"/>
      <c r="AH21" s="16"/>
      <c r="BE21" s="35"/>
      <c r="BK21" s="16"/>
      <c r="BL21" s="16"/>
      <c r="FA21" s="16"/>
      <c r="FO21" s="16"/>
      <c r="GD21" s="16"/>
      <c r="GJ21" s="16"/>
    </row>
    <row r="22" spans="1:233" hidden="1" x14ac:dyDescent="0.5">
      <c r="A22" s="5"/>
      <c r="B22" s="3"/>
      <c r="C22" s="16"/>
      <c r="D22" s="16"/>
      <c r="E22" s="16"/>
      <c r="F22" s="16"/>
      <c r="G22" s="16"/>
      <c r="H22" s="16"/>
      <c r="I22" s="16"/>
      <c r="J22" s="16"/>
      <c r="K22" s="27"/>
      <c r="L22" s="16"/>
      <c r="M22" s="16"/>
      <c r="N22" s="16"/>
      <c r="AB22" s="16"/>
      <c r="AF22" s="16"/>
      <c r="AH22" s="16"/>
      <c r="BE22" s="35"/>
      <c r="BK22" s="16"/>
      <c r="BL22" s="16"/>
      <c r="FA22" s="16"/>
      <c r="FO22" s="16"/>
      <c r="GD22" s="16"/>
      <c r="GJ22" s="16"/>
    </row>
    <row r="23" spans="1:233" x14ac:dyDescent="0.5">
      <c r="A23" s="13" t="s">
        <v>18</v>
      </c>
      <c r="B23" s="3">
        <v>-44.08</v>
      </c>
      <c r="C23" s="16">
        <v>60.38</v>
      </c>
      <c r="D23" s="16">
        <v>4.1100000000000003</v>
      </c>
      <c r="E23" s="26"/>
      <c r="F23" s="16">
        <v>-41.49</v>
      </c>
      <c r="G23" s="26"/>
      <c r="H23" s="16">
        <v>-196.43</v>
      </c>
      <c r="I23" s="16">
        <v>11.38</v>
      </c>
      <c r="J23" s="16">
        <v>32.65</v>
      </c>
      <c r="K23" s="27">
        <v>34.78</v>
      </c>
      <c r="L23" s="16">
        <v>39.61</v>
      </c>
      <c r="M23" s="16">
        <v>46.27</v>
      </c>
      <c r="N23" s="16">
        <v>42.61</v>
      </c>
      <c r="O23" s="11">
        <v>4.9800000000000004</v>
      </c>
      <c r="P23" s="11">
        <v>49.51</v>
      </c>
      <c r="Q23" s="11">
        <v>24.36</v>
      </c>
      <c r="S23" s="11">
        <v>45.16</v>
      </c>
      <c r="T23" s="11">
        <v>4.24</v>
      </c>
      <c r="U23" s="11">
        <v>31.48</v>
      </c>
      <c r="V23" s="11">
        <v>66.92</v>
      </c>
      <c r="W23" s="11">
        <v>58.89</v>
      </c>
      <c r="X23" s="11">
        <v>11.43</v>
      </c>
      <c r="Y23" s="11">
        <v>29.14</v>
      </c>
      <c r="Z23" s="11">
        <v>21.81</v>
      </c>
      <c r="AA23" s="11">
        <v>34.85</v>
      </c>
      <c r="AB23" s="16">
        <v>48.34</v>
      </c>
      <c r="AC23" s="11">
        <v>26.62</v>
      </c>
      <c r="AD23" s="11">
        <v>3.77</v>
      </c>
      <c r="AF23" s="16">
        <v>35.65</v>
      </c>
      <c r="AG23" s="11">
        <v>9.51</v>
      </c>
      <c r="AH23" s="16">
        <v>14.74</v>
      </c>
      <c r="AI23" s="11">
        <v>13.09</v>
      </c>
      <c r="AJ23" s="11">
        <v>25.72</v>
      </c>
      <c r="AK23" s="11">
        <v>22.87</v>
      </c>
      <c r="AL23" s="11">
        <v>10.08</v>
      </c>
      <c r="AM23" s="11">
        <v>31.93</v>
      </c>
      <c r="AN23" s="11">
        <v>27.42</v>
      </c>
      <c r="AO23" s="11">
        <v>21.8</v>
      </c>
      <c r="AP23" s="11">
        <v>6.06</v>
      </c>
      <c r="AQ23" s="11">
        <v>22.09</v>
      </c>
      <c r="AS23" s="11">
        <v>18.27</v>
      </c>
      <c r="AT23" s="11">
        <v>8.76</v>
      </c>
      <c r="AU23" s="11">
        <v>11.75</v>
      </c>
      <c r="AV23" s="11">
        <v>27.19</v>
      </c>
      <c r="AZ23" s="11">
        <v>40.03</v>
      </c>
      <c r="BA23" s="11">
        <v>22.9</v>
      </c>
      <c r="BB23" s="11">
        <v>21.22</v>
      </c>
      <c r="BC23" s="11">
        <v>27.99</v>
      </c>
      <c r="BD23" s="11">
        <v>30.14</v>
      </c>
      <c r="BE23" s="35">
        <v>33</v>
      </c>
      <c r="BF23" s="11">
        <v>34.86</v>
      </c>
      <c r="BG23" s="11">
        <v>-10.01</v>
      </c>
      <c r="BH23" s="11">
        <v>19.54</v>
      </c>
      <c r="BI23" s="11">
        <v>41.77</v>
      </c>
      <c r="BJ23" s="11">
        <v>-3.23</v>
      </c>
      <c r="BK23" s="16">
        <v>10.7</v>
      </c>
      <c r="BL23" s="16">
        <v>26.22</v>
      </c>
      <c r="BM23" s="11">
        <v>11.59</v>
      </c>
      <c r="BN23" s="11">
        <v>19.649999999999999</v>
      </c>
      <c r="BO23" s="11">
        <v>11.26</v>
      </c>
      <c r="BP23" s="11">
        <v>18.39</v>
      </c>
      <c r="BQ23" s="11">
        <v>42.24</v>
      </c>
      <c r="BR23" s="11">
        <v>46.13</v>
      </c>
      <c r="BS23" s="11">
        <v>54.99</v>
      </c>
      <c r="BU23" s="11">
        <v>47.1</v>
      </c>
      <c r="BV23" s="11">
        <v>15.1</v>
      </c>
      <c r="BW23" s="11">
        <v>29.52</v>
      </c>
      <c r="BX23" s="11">
        <v>15.84</v>
      </c>
      <c r="BY23" s="11">
        <v>28.13</v>
      </c>
      <c r="BZ23" s="11">
        <v>15</v>
      </c>
      <c r="CA23" s="11">
        <v>22.4</v>
      </c>
      <c r="CD23" s="11">
        <v>14.35</v>
      </c>
      <c r="CE23" s="11">
        <v>34.369999999999997</v>
      </c>
      <c r="CF23" s="11">
        <v>21.11</v>
      </c>
      <c r="CG23" s="11">
        <v>29.06</v>
      </c>
      <c r="CI23" s="11">
        <v>31.033999999999999</v>
      </c>
      <c r="CK23" s="11">
        <v>25.01</v>
      </c>
      <c r="CL23" s="11">
        <v>23.34</v>
      </c>
      <c r="CN23" s="11">
        <v>42.88</v>
      </c>
      <c r="CO23" s="11">
        <v>23.17</v>
      </c>
      <c r="CP23" s="11">
        <v>11.7</v>
      </c>
      <c r="CQ23" s="11">
        <v>11.18</v>
      </c>
      <c r="CR23" s="11">
        <v>35.29</v>
      </c>
      <c r="CS23" s="11">
        <v>5.42</v>
      </c>
      <c r="CT23" s="11">
        <v>15.58</v>
      </c>
      <c r="CU23" s="11">
        <v>18.05</v>
      </c>
      <c r="CW23" s="11">
        <v>42.41</v>
      </c>
      <c r="CX23" s="11">
        <v>21.47</v>
      </c>
      <c r="CY23" s="11">
        <v>19.23</v>
      </c>
      <c r="CZ23" s="11">
        <v>38.5</v>
      </c>
      <c r="DA23" s="11">
        <v>19.27</v>
      </c>
      <c r="DB23" s="11">
        <v>8.07</v>
      </c>
      <c r="DC23" s="11">
        <v>7.32</v>
      </c>
      <c r="DD23" s="11">
        <v>-6.24</v>
      </c>
      <c r="DF23" s="11">
        <v>10.52</v>
      </c>
      <c r="DG23" s="11">
        <v>11.96</v>
      </c>
      <c r="DH23" s="11">
        <v>28.31</v>
      </c>
      <c r="DI23" s="11">
        <v>-0.1</v>
      </c>
      <c r="DJ23" s="11">
        <v>36.32</v>
      </c>
      <c r="DM23" s="11">
        <v>36.58</v>
      </c>
      <c r="DN23" s="11">
        <v>22.36</v>
      </c>
      <c r="DO23" s="11">
        <v>12.2</v>
      </c>
      <c r="DP23" s="11">
        <v>40.93</v>
      </c>
      <c r="DQ23" s="11">
        <v>12.52</v>
      </c>
      <c r="DR23" s="11">
        <v>17.52</v>
      </c>
      <c r="DS23" s="11">
        <v>16.190000000000001</v>
      </c>
      <c r="DT23" s="11">
        <v>11.94</v>
      </c>
      <c r="DU23" s="11">
        <v>14.57</v>
      </c>
      <c r="DV23" s="11">
        <v>20.23</v>
      </c>
      <c r="DW23" s="11">
        <v>26.3</v>
      </c>
      <c r="DX23" s="11">
        <v>20.9</v>
      </c>
      <c r="DZ23" s="11">
        <v>42.18</v>
      </c>
      <c r="EA23" s="11">
        <v>40.119999999999997</v>
      </c>
      <c r="EB23" s="11">
        <v>19.309999999999999</v>
      </c>
      <c r="EC23" s="11">
        <v>24.2</v>
      </c>
      <c r="EE23" s="11">
        <v>21.02</v>
      </c>
      <c r="EF23" s="11">
        <v>25.25</v>
      </c>
      <c r="EG23" s="11">
        <v>13.63</v>
      </c>
      <c r="EH23" s="11">
        <v>50.26</v>
      </c>
      <c r="EI23" s="11">
        <v>15.64</v>
      </c>
      <c r="EJ23" s="11">
        <v>26.95</v>
      </c>
      <c r="EL23" s="11">
        <v>23.17</v>
      </c>
      <c r="EM23" s="11">
        <v>21.45</v>
      </c>
      <c r="EN23" s="11">
        <v>1.55</v>
      </c>
      <c r="EO23" s="11">
        <v>26.95</v>
      </c>
      <c r="EQ23" s="11">
        <v>38.700000000000003</v>
      </c>
      <c r="EZ23" s="11">
        <v>10.96</v>
      </c>
      <c r="FA23" s="16">
        <v>58.55</v>
      </c>
      <c r="FB23" s="11">
        <v>26.58</v>
      </c>
      <c r="FC23" s="11">
        <v>41.83</v>
      </c>
      <c r="FD23" s="11">
        <v>14.59</v>
      </c>
      <c r="FE23" s="11">
        <v>16.22</v>
      </c>
      <c r="FG23" s="11">
        <v>4.96</v>
      </c>
      <c r="FH23" s="11">
        <v>7.03</v>
      </c>
      <c r="FI23" s="11">
        <v>4.95</v>
      </c>
      <c r="FJ23" s="11">
        <v>3.68</v>
      </c>
      <c r="FK23" s="11">
        <v>4.4000000000000004</v>
      </c>
      <c r="FL23" s="11">
        <v>-10.55</v>
      </c>
      <c r="FM23" s="11">
        <v>16.16</v>
      </c>
      <c r="FN23" s="11">
        <v>0.18</v>
      </c>
      <c r="FO23" s="16">
        <v>48.35</v>
      </c>
      <c r="FP23" s="11">
        <v>29.8</v>
      </c>
      <c r="FQ23" s="11">
        <v>7.49</v>
      </c>
      <c r="FR23" s="11">
        <v>5.97</v>
      </c>
      <c r="FS23" s="11">
        <v>13.82</v>
      </c>
      <c r="FT23" s="11">
        <v>34.340000000000003</v>
      </c>
      <c r="FU23" s="11">
        <v>18.059999999999999</v>
      </c>
      <c r="FV23" s="11">
        <v>-1.34</v>
      </c>
      <c r="FW23" s="11">
        <v>25.6</v>
      </c>
      <c r="FX23" s="11">
        <v>2.5099999999999998</v>
      </c>
      <c r="FY23" s="11">
        <v>-2.88</v>
      </c>
      <c r="FZ23" s="11">
        <v>17.04</v>
      </c>
      <c r="GA23" s="11">
        <v>13.81</v>
      </c>
      <c r="GB23" s="11">
        <v>34.479999999999997</v>
      </c>
      <c r="GC23" s="11">
        <v>8.66</v>
      </c>
      <c r="GD23" s="16">
        <v>40.479999999999997</v>
      </c>
      <c r="GE23" s="11">
        <v>18.86</v>
      </c>
      <c r="GF23" s="11">
        <v>14.74</v>
      </c>
      <c r="GG23" s="11">
        <v>-34.31</v>
      </c>
      <c r="GH23" s="11">
        <v>24.6</v>
      </c>
      <c r="GI23" s="11">
        <v>-9.5399999999999991</v>
      </c>
      <c r="GJ23" s="16">
        <v>50.3</v>
      </c>
      <c r="GK23" s="11">
        <v>18.68</v>
      </c>
      <c r="GL23" s="11">
        <v>26.43</v>
      </c>
      <c r="GM23" s="11">
        <v>8.6</v>
      </c>
      <c r="GN23" s="11">
        <v>2.25</v>
      </c>
      <c r="GO23" s="11">
        <v>-4.57</v>
      </c>
      <c r="GP23" s="11">
        <v>20.64</v>
      </c>
      <c r="GQ23" s="11">
        <v>58.15</v>
      </c>
      <c r="GR23" s="11">
        <v>11</v>
      </c>
      <c r="GS23" s="11">
        <v>-2.5499999999999998</v>
      </c>
      <c r="HB23" s="11">
        <v>5.59</v>
      </c>
      <c r="HC23" s="11">
        <v>32.03</v>
      </c>
      <c r="HD23" s="11">
        <v>17.89</v>
      </c>
      <c r="HE23" s="11">
        <v>26.25</v>
      </c>
      <c r="HF23" s="11">
        <v>14.58</v>
      </c>
      <c r="HG23" s="11">
        <v>-4.25</v>
      </c>
      <c r="HH23" s="11">
        <v>14.26</v>
      </c>
      <c r="HI23" s="11">
        <v>33.76</v>
      </c>
      <c r="HK23" s="11">
        <v>9.67</v>
      </c>
      <c r="HL23" s="11">
        <v>5.98</v>
      </c>
      <c r="HM23" s="11">
        <v>15.15</v>
      </c>
      <c r="HN23" s="11">
        <v>25.77</v>
      </c>
      <c r="HO23" s="11">
        <v>13.43</v>
      </c>
      <c r="HP23" s="11">
        <v>16.14</v>
      </c>
      <c r="HQ23" s="11">
        <v>9.59</v>
      </c>
      <c r="HR23" s="11">
        <v>3.57</v>
      </c>
      <c r="HS23" s="11">
        <v>3.19</v>
      </c>
      <c r="HT23" s="11">
        <v>15.96</v>
      </c>
      <c r="HU23" s="11">
        <v>26.47</v>
      </c>
      <c r="HV23" s="11">
        <v>18.670000000000002</v>
      </c>
      <c r="HW23" s="11">
        <v>60.38</v>
      </c>
      <c r="HX23" s="11">
        <v>34.79</v>
      </c>
      <c r="HY23" s="11">
        <v>41.68</v>
      </c>
    </row>
    <row r="24" spans="1:233" x14ac:dyDescent="0.5">
      <c r="A24" s="13" t="s">
        <v>19</v>
      </c>
      <c r="B24" s="23"/>
      <c r="C24" s="16">
        <v>15.12</v>
      </c>
      <c r="D24" s="16">
        <v>7.02</v>
      </c>
      <c r="E24" s="26"/>
      <c r="F24" s="26"/>
      <c r="G24" s="26"/>
      <c r="H24" s="16">
        <v>0.56999999999999995</v>
      </c>
      <c r="I24" s="16">
        <v>17.71</v>
      </c>
      <c r="J24" s="16">
        <v>18.32</v>
      </c>
      <c r="K24" s="27">
        <v>15.61</v>
      </c>
      <c r="L24" s="16">
        <v>4.13</v>
      </c>
      <c r="M24" s="16">
        <v>17.82</v>
      </c>
      <c r="N24" s="16">
        <v>30.43</v>
      </c>
      <c r="O24" s="11">
        <v>22.34</v>
      </c>
      <c r="P24" s="11">
        <v>17.309999999999999</v>
      </c>
      <c r="Q24" s="11">
        <v>17.41</v>
      </c>
      <c r="R24" s="11">
        <v>20.3</v>
      </c>
      <c r="S24" s="11">
        <v>18.18</v>
      </c>
      <c r="T24" s="11">
        <v>22.71</v>
      </c>
      <c r="U24" s="11">
        <v>13.71</v>
      </c>
      <c r="V24" s="11">
        <v>17.09</v>
      </c>
      <c r="W24" s="11">
        <v>19</v>
      </c>
      <c r="X24" s="11">
        <v>27.73</v>
      </c>
      <c r="Y24" s="11">
        <v>13.71</v>
      </c>
      <c r="Z24" s="11">
        <v>1.48</v>
      </c>
      <c r="AA24" s="11">
        <v>18.29</v>
      </c>
      <c r="AB24" s="16">
        <v>13.82</v>
      </c>
      <c r="AC24" s="11">
        <v>20.260000000000002</v>
      </c>
      <c r="AD24" s="11">
        <v>25.13</v>
      </c>
      <c r="AE24" s="11">
        <v>8.41</v>
      </c>
      <c r="AF24" s="16"/>
      <c r="AH24" s="16">
        <v>19.18</v>
      </c>
      <c r="AI24" s="11">
        <v>24.03</v>
      </c>
      <c r="AJ24" s="11">
        <v>19.96</v>
      </c>
      <c r="AK24" s="11">
        <v>14.94</v>
      </c>
      <c r="AL24" s="11">
        <v>39.159999999999997</v>
      </c>
      <c r="AM24" s="11">
        <v>17.72</v>
      </c>
      <c r="AN24" s="11">
        <v>27.31</v>
      </c>
      <c r="AO24" s="11">
        <v>16.559999999999999</v>
      </c>
      <c r="AP24" s="11">
        <v>17.27</v>
      </c>
      <c r="AQ24" s="11">
        <v>8.2899999999999991</v>
      </c>
      <c r="AR24" s="11">
        <v>11.88</v>
      </c>
      <c r="AS24" s="11">
        <v>21.37</v>
      </c>
      <c r="AT24" s="11">
        <v>22.59</v>
      </c>
      <c r="AU24" s="11">
        <v>18.11</v>
      </c>
      <c r="AV24" s="11">
        <v>17.79</v>
      </c>
      <c r="AW24" s="11">
        <v>22.63</v>
      </c>
      <c r="AX24" s="11">
        <v>21.69</v>
      </c>
      <c r="AY24" s="11">
        <v>21.57</v>
      </c>
      <c r="AZ24" s="11">
        <v>24.36</v>
      </c>
      <c r="BA24" s="11">
        <v>23.34</v>
      </c>
      <c r="BB24" s="11">
        <v>17.88</v>
      </c>
      <c r="BC24" s="11">
        <v>56.24</v>
      </c>
      <c r="BD24" s="11">
        <v>23.23</v>
      </c>
      <c r="BE24" s="35">
        <v>10.92</v>
      </c>
      <c r="BF24" s="11">
        <v>11.48</v>
      </c>
      <c r="BH24" s="11">
        <v>3.49</v>
      </c>
      <c r="BI24" s="11">
        <v>13.1</v>
      </c>
      <c r="BJ24" s="11">
        <v>88.67</v>
      </c>
      <c r="BK24" s="16">
        <v>-75.62</v>
      </c>
      <c r="BL24" s="16">
        <v>19.96</v>
      </c>
      <c r="BM24" s="11">
        <v>28.94</v>
      </c>
      <c r="BO24" s="11">
        <v>44.65</v>
      </c>
      <c r="BP24" s="11">
        <v>7.64</v>
      </c>
      <c r="BQ24" s="11">
        <v>12.71</v>
      </c>
      <c r="BR24" s="11">
        <v>21.18</v>
      </c>
      <c r="BS24" s="11">
        <v>8.7899999999999991</v>
      </c>
      <c r="BT24" s="11">
        <v>20.3</v>
      </c>
      <c r="BU24" s="11">
        <v>21.33</v>
      </c>
      <c r="BW24" s="11">
        <v>12.65</v>
      </c>
      <c r="BX24" s="11">
        <v>12.61</v>
      </c>
      <c r="BY24" s="11">
        <v>21.96</v>
      </c>
      <c r="BZ24" s="11">
        <v>19.649999999999999</v>
      </c>
      <c r="CA24" s="11">
        <v>15.95</v>
      </c>
      <c r="CB24" s="11">
        <v>25.21</v>
      </c>
      <c r="CC24" s="11">
        <v>15.3</v>
      </c>
      <c r="CD24" s="11">
        <v>20.71</v>
      </c>
      <c r="CE24" s="11">
        <v>21.53</v>
      </c>
      <c r="CF24" s="11">
        <v>15.73</v>
      </c>
      <c r="CH24" s="11">
        <v>22.21</v>
      </c>
      <c r="CI24" s="11">
        <v>15.03</v>
      </c>
      <c r="CJ24" s="11">
        <v>29.16</v>
      </c>
      <c r="CK24" s="11">
        <v>20.77</v>
      </c>
      <c r="CL24" s="11">
        <v>5.41</v>
      </c>
      <c r="CM24" s="11">
        <v>22.64</v>
      </c>
      <c r="CN24" s="11">
        <v>16.11</v>
      </c>
      <c r="CO24" s="11">
        <v>22.55</v>
      </c>
      <c r="CP24" s="11">
        <v>21.71</v>
      </c>
      <c r="CQ24" s="11">
        <v>24.84</v>
      </c>
      <c r="CR24" s="11">
        <v>22.79</v>
      </c>
      <c r="CS24" s="11">
        <v>40.299999999999997</v>
      </c>
      <c r="CT24" s="11">
        <v>23.74</v>
      </c>
      <c r="CU24" s="11">
        <v>26.58</v>
      </c>
      <c r="CV24" s="11">
        <v>25.04</v>
      </c>
      <c r="CW24" s="11">
        <v>22</v>
      </c>
      <c r="CX24" s="11">
        <v>16.100000000000001</v>
      </c>
      <c r="CY24" s="11">
        <v>14.86</v>
      </c>
      <c r="CZ24" s="11">
        <v>17.96</v>
      </c>
      <c r="DA24" s="11">
        <v>18.21</v>
      </c>
      <c r="DB24" s="11">
        <v>14.46</v>
      </c>
      <c r="DC24" s="11">
        <v>18.670000000000002</v>
      </c>
      <c r="DF24" s="11">
        <v>25.56</v>
      </c>
      <c r="DG24" s="11">
        <v>26.37</v>
      </c>
      <c r="DJ24" s="11">
        <v>39.28</v>
      </c>
      <c r="DK24" s="11">
        <v>13.04</v>
      </c>
      <c r="DL24" s="11">
        <v>13</v>
      </c>
      <c r="DM24" s="11">
        <v>17.78</v>
      </c>
      <c r="DN24" s="11">
        <v>11.81</v>
      </c>
      <c r="DO24" s="11">
        <v>41.36</v>
      </c>
      <c r="DP24" s="11">
        <v>21.98</v>
      </c>
      <c r="DQ24" s="11">
        <v>24.1</v>
      </c>
      <c r="DS24" s="11">
        <v>20.69</v>
      </c>
      <c r="DT24" s="11">
        <v>17.45</v>
      </c>
      <c r="DU24" s="11">
        <v>18.22</v>
      </c>
      <c r="DV24" s="11">
        <v>17.760000000000002</v>
      </c>
      <c r="DW24" s="11">
        <v>27.65</v>
      </c>
      <c r="DX24" s="11">
        <v>19.14</v>
      </c>
      <c r="DY24" s="11">
        <v>10.11</v>
      </c>
      <c r="DZ24" s="11">
        <v>5.73</v>
      </c>
      <c r="EA24" s="11">
        <v>9.25</v>
      </c>
      <c r="EB24" s="11">
        <v>17.149999999999999</v>
      </c>
      <c r="EC24" s="11">
        <v>28.21</v>
      </c>
      <c r="ED24" s="11">
        <v>31.17</v>
      </c>
      <c r="EE24" s="11">
        <v>18.59</v>
      </c>
      <c r="EF24" s="11">
        <v>16.38</v>
      </c>
      <c r="EG24" s="11">
        <v>25.44</v>
      </c>
      <c r="EH24" s="11">
        <v>36.200000000000003</v>
      </c>
      <c r="EI24" s="11">
        <v>21.39</v>
      </c>
      <c r="EJ24" s="11">
        <v>24.03</v>
      </c>
      <c r="EK24" s="11">
        <v>14.31</v>
      </c>
      <c r="EL24" s="11">
        <v>33.85</v>
      </c>
      <c r="EM24" s="11">
        <v>14.75</v>
      </c>
      <c r="EN24" s="11">
        <v>18.489999999999998</v>
      </c>
      <c r="EO24" s="11">
        <v>24.03</v>
      </c>
      <c r="EQ24" s="11">
        <v>17.39</v>
      </c>
      <c r="FA24" s="16">
        <v>26.4</v>
      </c>
      <c r="FB24" s="11">
        <v>37.08</v>
      </c>
      <c r="FC24" s="11">
        <v>24.78</v>
      </c>
      <c r="FE24" s="11">
        <v>0.6</v>
      </c>
      <c r="FH24" s="11">
        <v>18.149999999999999</v>
      </c>
      <c r="FK24" s="11">
        <v>13.36</v>
      </c>
      <c r="FM24" s="11">
        <v>30.18</v>
      </c>
      <c r="FN24" s="11">
        <v>2.76</v>
      </c>
      <c r="FO24" s="16">
        <v>40.520000000000003</v>
      </c>
      <c r="FP24" s="11">
        <v>24.73</v>
      </c>
      <c r="FQ24" s="11">
        <v>27.54</v>
      </c>
      <c r="FR24" s="11">
        <v>3.92</v>
      </c>
      <c r="FS24" s="11">
        <v>17.45</v>
      </c>
      <c r="FT24" s="11">
        <v>21.89</v>
      </c>
      <c r="FU24" s="11">
        <v>27.37</v>
      </c>
      <c r="FV24" s="11">
        <v>16.18</v>
      </c>
      <c r="FX24" s="11">
        <v>56.56</v>
      </c>
      <c r="FZ24" s="11">
        <v>20.81</v>
      </c>
      <c r="GB24" s="11">
        <v>22.73</v>
      </c>
      <c r="GD24" s="16">
        <v>28.8</v>
      </c>
      <c r="GE24" s="11">
        <v>2.61</v>
      </c>
      <c r="GH24" s="11">
        <v>19.53</v>
      </c>
      <c r="GJ24" s="16">
        <v>33.299999999999997</v>
      </c>
      <c r="GK24" s="11">
        <v>40.909999999999997</v>
      </c>
      <c r="GL24" s="11">
        <v>1.61</v>
      </c>
      <c r="GM24" s="11">
        <v>22.68</v>
      </c>
      <c r="GN24" s="11">
        <v>16.79</v>
      </c>
      <c r="GP24" s="11">
        <v>16.23</v>
      </c>
      <c r="GQ24" s="11">
        <v>14.59</v>
      </c>
      <c r="GR24" s="11">
        <v>66</v>
      </c>
      <c r="HB24" s="11">
        <v>30.07</v>
      </c>
      <c r="HC24" s="11">
        <v>16.78</v>
      </c>
      <c r="HD24" s="11">
        <v>23.49</v>
      </c>
      <c r="HE24" s="11">
        <v>22.36</v>
      </c>
      <c r="HF24" s="11">
        <v>15.11</v>
      </c>
      <c r="HG24" s="11">
        <v>2.67</v>
      </c>
      <c r="HH24" s="11">
        <v>7.07</v>
      </c>
      <c r="HI24" s="11">
        <v>11.38</v>
      </c>
      <c r="HK24" s="11">
        <v>5.9</v>
      </c>
      <c r="HL24" s="11">
        <v>14.79</v>
      </c>
      <c r="HM24" s="11">
        <v>16.059999999999999</v>
      </c>
      <c r="HN24" s="11">
        <v>28.31</v>
      </c>
      <c r="HO24" s="11">
        <v>2.96</v>
      </c>
      <c r="HP24" s="11">
        <v>12.36</v>
      </c>
      <c r="HQ24" s="11">
        <v>22.71</v>
      </c>
      <c r="HR24" s="11">
        <v>23.23</v>
      </c>
      <c r="HS24" s="11">
        <v>52.17</v>
      </c>
      <c r="HT24" s="11">
        <v>9.25</v>
      </c>
      <c r="HU24" s="11">
        <v>12.69</v>
      </c>
      <c r="HV24" s="11">
        <v>2.3199999999999998</v>
      </c>
      <c r="HW24" s="11">
        <v>15.12</v>
      </c>
      <c r="HX24" s="11">
        <v>30.83</v>
      </c>
      <c r="HY24" s="11">
        <v>13.27</v>
      </c>
    </row>
    <row r="25" spans="1:233" x14ac:dyDescent="0.5">
      <c r="A25" s="5" t="s">
        <v>20</v>
      </c>
      <c r="B25" s="2">
        <v>-44.08</v>
      </c>
      <c r="C25" s="2">
        <v>-44.08</v>
      </c>
      <c r="D25" s="2">
        <v>-44.08</v>
      </c>
      <c r="E25" s="2">
        <v>-44.08</v>
      </c>
      <c r="F25" s="2">
        <v>-44.08</v>
      </c>
      <c r="G25" s="2">
        <v>-44.08</v>
      </c>
      <c r="H25" s="2">
        <v>-44.08</v>
      </c>
      <c r="I25" s="2">
        <v>-44.08</v>
      </c>
      <c r="J25" s="2">
        <v>-44.08</v>
      </c>
      <c r="K25" s="2">
        <v>-44.08</v>
      </c>
      <c r="L25" s="2">
        <v>-44.08</v>
      </c>
      <c r="M25" s="2">
        <v>-44.08</v>
      </c>
      <c r="N25" s="2">
        <v>-44.08</v>
      </c>
      <c r="O25" s="2">
        <v>-44.08</v>
      </c>
      <c r="P25" s="2">
        <v>-44.08</v>
      </c>
      <c r="Q25" s="2">
        <v>-44.08</v>
      </c>
      <c r="R25" s="2">
        <v>-44.08</v>
      </c>
      <c r="S25" s="2">
        <v>-44.08</v>
      </c>
      <c r="T25" s="2">
        <v>-44.08</v>
      </c>
      <c r="U25" s="2">
        <v>-44.08</v>
      </c>
      <c r="V25" s="2">
        <v>-44.08</v>
      </c>
      <c r="W25" s="2">
        <v>-44.08</v>
      </c>
      <c r="X25" s="2">
        <v>-44.08</v>
      </c>
      <c r="Y25" s="2">
        <v>-44.08</v>
      </c>
      <c r="Z25" s="2">
        <v>-44.08</v>
      </c>
      <c r="AA25" s="2">
        <v>-44.08</v>
      </c>
      <c r="AB25" s="2">
        <v>-44.08</v>
      </c>
      <c r="AC25" s="2">
        <v>-44.08</v>
      </c>
      <c r="AD25" s="2">
        <v>-44.08</v>
      </c>
      <c r="AE25" s="2">
        <v>-44.08</v>
      </c>
      <c r="AF25" s="2">
        <v>-44.08</v>
      </c>
      <c r="AG25" s="2">
        <v>-44.08</v>
      </c>
      <c r="AH25" s="2">
        <v>-44.08</v>
      </c>
      <c r="AI25" s="2">
        <v>-44.08</v>
      </c>
      <c r="AJ25" s="2">
        <v>-44.08</v>
      </c>
      <c r="AK25" s="2">
        <v>-44.08</v>
      </c>
      <c r="AL25" s="2">
        <v>-44.08</v>
      </c>
      <c r="AM25" s="2">
        <v>-44.08</v>
      </c>
      <c r="AN25" s="2">
        <v>-44.08</v>
      </c>
      <c r="AO25" s="2">
        <v>-44.08</v>
      </c>
      <c r="AP25" s="2">
        <v>-44.08</v>
      </c>
      <c r="AQ25" s="2">
        <v>-44.08</v>
      </c>
      <c r="AR25" s="2">
        <v>-44.08</v>
      </c>
      <c r="AS25" s="2">
        <v>-44.08</v>
      </c>
      <c r="AT25" s="2">
        <v>-44.08</v>
      </c>
      <c r="AU25" s="2">
        <v>-44.08</v>
      </c>
      <c r="AV25" s="2">
        <v>-44.08</v>
      </c>
      <c r="AW25" s="2">
        <v>-44.08</v>
      </c>
      <c r="AX25" s="2">
        <v>-44.08</v>
      </c>
      <c r="AY25" s="2">
        <v>-44.08</v>
      </c>
      <c r="AZ25" s="2">
        <v>-44.08</v>
      </c>
      <c r="BA25" s="2">
        <v>-44.08</v>
      </c>
      <c r="BB25" s="2">
        <v>-44.08</v>
      </c>
      <c r="BC25" s="2">
        <v>-44.08</v>
      </c>
      <c r="BD25" s="34">
        <v>-44.08</v>
      </c>
      <c r="BE25" s="2">
        <v>-44.08</v>
      </c>
      <c r="BF25" s="40">
        <v>-44.08</v>
      </c>
      <c r="BG25" s="2">
        <v>-44.08</v>
      </c>
      <c r="BH25" s="2">
        <v>-44.08</v>
      </c>
      <c r="BI25" s="2">
        <v>-44.08</v>
      </c>
      <c r="BJ25" s="34">
        <v>-44.08</v>
      </c>
      <c r="BK25" s="2">
        <v>-44.08</v>
      </c>
      <c r="BL25" s="2">
        <v>-44.08</v>
      </c>
      <c r="BM25" s="2">
        <v>-44.08</v>
      </c>
      <c r="BN25" s="2">
        <v>-44.08</v>
      </c>
      <c r="BO25" s="2">
        <v>-44.08</v>
      </c>
      <c r="BP25" s="2">
        <v>-44.08</v>
      </c>
      <c r="BQ25" s="2">
        <v>-44.08</v>
      </c>
      <c r="BR25" s="2">
        <v>-44.08</v>
      </c>
      <c r="BS25" s="2">
        <v>-44.08</v>
      </c>
      <c r="BT25" s="2">
        <v>-44.08</v>
      </c>
      <c r="BU25" s="2">
        <v>-44.08</v>
      </c>
      <c r="BV25" s="2">
        <v>-44.08</v>
      </c>
      <c r="BW25" s="2">
        <v>-44.08</v>
      </c>
      <c r="BX25" s="2">
        <v>-44.08</v>
      </c>
      <c r="BY25" s="2">
        <v>-44.08</v>
      </c>
      <c r="BZ25" s="2">
        <v>-44.08</v>
      </c>
      <c r="CA25" s="2">
        <v>-44.08</v>
      </c>
      <c r="CB25" s="2">
        <v>-44.08</v>
      </c>
      <c r="CC25" s="2">
        <v>-44.08</v>
      </c>
      <c r="CD25" s="2">
        <v>-44.08</v>
      </c>
      <c r="CE25" s="2">
        <v>-44.08</v>
      </c>
      <c r="CF25" s="2">
        <v>-44.08</v>
      </c>
      <c r="CG25" s="2">
        <v>-44.08</v>
      </c>
      <c r="CH25" s="2">
        <v>-44.08</v>
      </c>
      <c r="CI25" s="2">
        <v>-44.08</v>
      </c>
      <c r="CJ25" s="2">
        <v>-44.08</v>
      </c>
      <c r="CK25" s="2">
        <v>-44.08</v>
      </c>
      <c r="CL25" s="2">
        <v>-44.08</v>
      </c>
      <c r="CM25" s="2">
        <v>-44.08</v>
      </c>
      <c r="CN25" s="2">
        <v>-44.08</v>
      </c>
      <c r="CO25" s="2">
        <v>-44.08</v>
      </c>
      <c r="CP25" s="2">
        <v>-44.08</v>
      </c>
      <c r="CQ25" s="2">
        <v>-44.08</v>
      </c>
      <c r="CR25" s="2">
        <v>-44.08</v>
      </c>
      <c r="CS25" s="2">
        <v>-44.08</v>
      </c>
      <c r="CT25" s="2">
        <v>-44.08</v>
      </c>
      <c r="CU25" s="2">
        <v>-44.08</v>
      </c>
      <c r="CV25" s="2">
        <v>-44.08</v>
      </c>
      <c r="CW25" s="2">
        <v>-44.08</v>
      </c>
      <c r="CX25" s="2">
        <v>-44.08</v>
      </c>
      <c r="CY25" s="2">
        <v>-44.08</v>
      </c>
      <c r="CZ25" s="2">
        <v>-44.08</v>
      </c>
      <c r="DA25" s="2">
        <v>-44.08</v>
      </c>
      <c r="DB25" s="2">
        <v>-44.08</v>
      </c>
      <c r="DC25" s="2">
        <v>-44.08</v>
      </c>
      <c r="DD25" s="2">
        <v>-44.08</v>
      </c>
      <c r="DE25" s="2">
        <v>-44.08</v>
      </c>
      <c r="DF25" s="2">
        <v>-44.08</v>
      </c>
      <c r="DG25" s="2">
        <v>-44.08</v>
      </c>
      <c r="DH25" s="2">
        <v>-44.08</v>
      </c>
      <c r="DI25" s="2">
        <v>-44.08</v>
      </c>
      <c r="DJ25" s="2">
        <v>-44.08</v>
      </c>
      <c r="DK25" s="2">
        <v>-44.08</v>
      </c>
      <c r="DL25" s="2">
        <v>-44.08</v>
      </c>
      <c r="DM25" s="2">
        <v>-44.08</v>
      </c>
      <c r="DN25" s="2">
        <v>-44.08</v>
      </c>
      <c r="DO25" s="2">
        <v>-44.08</v>
      </c>
      <c r="DP25" s="2">
        <v>-44.08</v>
      </c>
      <c r="DQ25" s="2">
        <v>-44.08</v>
      </c>
      <c r="DR25" s="2">
        <v>-44.08</v>
      </c>
      <c r="DS25" s="2">
        <v>-44.08</v>
      </c>
      <c r="DT25" s="2">
        <v>-44.08</v>
      </c>
      <c r="DU25" s="2">
        <v>-44.08</v>
      </c>
      <c r="DV25" s="2">
        <v>-44.08</v>
      </c>
      <c r="DW25" s="2">
        <v>-44.08</v>
      </c>
      <c r="DX25" s="2">
        <v>-44.08</v>
      </c>
      <c r="DY25" s="2">
        <v>-44.08</v>
      </c>
      <c r="DZ25" s="2">
        <v>-44.08</v>
      </c>
      <c r="EA25" s="2">
        <v>-44.08</v>
      </c>
      <c r="EB25" s="2">
        <v>-44.08</v>
      </c>
      <c r="EC25" s="2">
        <v>-44.08</v>
      </c>
      <c r="ED25" s="2">
        <v>-44.08</v>
      </c>
      <c r="EE25" s="2">
        <v>-44.08</v>
      </c>
      <c r="EF25" s="2">
        <v>-44.08</v>
      </c>
      <c r="EG25" s="2">
        <v>-44.08</v>
      </c>
      <c r="EH25" s="2">
        <v>-44.08</v>
      </c>
      <c r="EI25" s="2">
        <v>-44.08</v>
      </c>
      <c r="EJ25" s="2">
        <v>-44.08</v>
      </c>
      <c r="EK25" s="2">
        <v>-44.08</v>
      </c>
      <c r="EL25" s="2">
        <v>-44.08</v>
      </c>
      <c r="EM25" s="2">
        <v>-44.08</v>
      </c>
      <c r="EN25" s="2">
        <v>-44.08</v>
      </c>
      <c r="EO25" s="2">
        <v>-44.08</v>
      </c>
      <c r="EP25" s="2">
        <v>-44.08</v>
      </c>
      <c r="EQ25" s="2">
        <v>-44.08</v>
      </c>
      <c r="ER25" s="2">
        <v>-44.08</v>
      </c>
      <c r="ES25" s="2">
        <v>-44.08</v>
      </c>
      <c r="ET25" s="2">
        <v>-44.08</v>
      </c>
      <c r="EU25" s="2">
        <v>-44.08</v>
      </c>
      <c r="EV25" s="2">
        <v>-44.08</v>
      </c>
      <c r="EW25" s="2">
        <v>-44.08</v>
      </c>
      <c r="EX25" s="2">
        <v>-44.08</v>
      </c>
      <c r="EY25" s="2">
        <v>-44.08</v>
      </c>
      <c r="EZ25" s="34">
        <v>-44.08</v>
      </c>
      <c r="FA25" s="2">
        <v>-44.08</v>
      </c>
      <c r="FB25" s="2">
        <v>-44.08</v>
      </c>
      <c r="FC25" s="2">
        <v>-44.08</v>
      </c>
      <c r="FD25" s="2">
        <v>-44.08</v>
      </c>
      <c r="FE25" s="2">
        <v>-44.08</v>
      </c>
      <c r="FF25" s="2">
        <v>-44.08</v>
      </c>
      <c r="FG25" s="2">
        <v>-44.08</v>
      </c>
      <c r="FH25" s="2">
        <v>-44.08</v>
      </c>
      <c r="FI25" s="2">
        <v>-44.08</v>
      </c>
      <c r="FJ25" s="2">
        <v>-44.08</v>
      </c>
      <c r="FK25" s="2">
        <v>-44.08</v>
      </c>
      <c r="FL25" s="2">
        <v>-44.08</v>
      </c>
      <c r="FM25" s="2">
        <v>-44.08</v>
      </c>
      <c r="FN25" s="34">
        <v>-44.08</v>
      </c>
      <c r="FO25" s="2">
        <v>-44.08</v>
      </c>
      <c r="FP25" s="2">
        <v>-44.08</v>
      </c>
      <c r="FQ25" s="2">
        <v>-44.08</v>
      </c>
      <c r="FR25" s="2">
        <v>-44.08</v>
      </c>
      <c r="FS25" s="2">
        <v>-44.08</v>
      </c>
      <c r="FT25" s="2">
        <v>-44.08</v>
      </c>
      <c r="FU25" s="2">
        <v>-44.08</v>
      </c>
      <c r="FV25" s="2">
        <v>-44.08</v>
      </c>
      <c r="FW25" s="2">
        <v>-44.08</v>
      </c>
      <c r="FX25" s="2">
        <v>-44.08</v>
      </c>
      <c r="FY25" s="2">
        <v>-44.08</v>
      </c>
      <c r="FZ25" s="2">
        <v>-44.08</v>
      </c>
      <c r="GA25" s="2">
        <v>-44.08</v>
      </c>
      <c r="GB25" s="2">
        <v>-44.08</v>
      </c>
      <c r="GC25" s="2">
        <v>-44.08</v>
      </c>
      <c r="GD25" s="2">
        <v>-44.08</v>
      </c>
      <c r="GE25" s="2">
        <v>-44.08</v>
      </c>
      <c r="GF25" s="2">
        <v>-44.08</v>
      </c>
      <c r="GG25" s="2">
        <v>-44.08</v>
      </c>
      <c r="GH25" s="2">
        <v>-44.08</v>
      </c>
      <c r="GI25" s="2">
        <v>-44.08</v>
      </c>
      <c r="GJ25" s="2">
        <v>-44.08</v>
      </c>
      <c r="GK25" s="2">
        <v>-44.08</v>
      </c>
      <c r="GL25" s="2">
        <v>-44.08</v>
      </c>
      <c r="GM25" s="2">
        <v>-44.08</v>
      </c>
      <c r="GN25" s="2">
        <v>-44.08</v>
      </c>
      <c r="GO25" s="2">
        <v>-44.08</v>
      </c>
      <c r="GP25" s="2">
        <v>-44.08</v>
      </c>
      <c r="GQ25" s="2">
        <v>-44.08</v>
      </c>
      <c r="GR25" s="2">
        <v>-44.08</v>
      </c>
      <c r="GS25" s="2">
        <v>-44.08</v>
      </c>
      <c r="GT25" s="2">
        <v>-44.08</v>
      </c>
      <c r="GU25" s="2">
        <v>-44.08</v>
      </c>
      <c r="GV25" s="2">
        <v>-44.08</v>
      </c>
      <c r="GW25" s="2">
        <v>-44.08</v>
      </c>
      <c r="GX25" s="2">
        <v>-44.08</v>
      </c>
      <c r="GY25" s="2">
        <v>-44.08</v>
      </c>
      <c r="GZ25" s="2">
        <v>-44.08</v>
      </c>
      <c r="HA25" s="2">
        <v>-44.08</v>
      </c>
      <c r="HB25" s="2">
        <v>-44.08</v>
      </c>
      <c r="HC25" s="2">
        <v>-44.08</v>
      </c>
      <c r="HD25" s="2">
        <v>-44.08</v>
      </c>
      <c r="HE25" s="2">
        <v>-44.08</v>
      </c>
      <c r="HF25" s="2">
        <v>-44.08</v>
      </c>
      <c r="HG25" s="2">
        <v>-44.08</v>
      </c>
      <c r="HH25" s="2">
        <v>-44.08</v>
      </c>
      <c r="HI25" s="2">
        <v>-44.08</v>
      </c>
      <c r="HJ25" s="2">
        <v>-44.08</v>
      </c>
      <c r="HK25" s="2">
        <v>-44.08</v>
      </c>
      <c r="HL25" s="2">
        <v>-44.08</v>
      </c>
      <c r="HM25" s="2">
        <v>-44.08</v>
      </c>
      <c r="HN25" s="2">
        <v>-44.08</v>
      </c>
      <c r="HO25" s="2">
        <v>-44.08</v>
      </c>
      <c r="HP25" s="2">
        <v>-44.08</v>
      </c>
      <c r="HQ25" s="2">
        <v>-44.08</v>
      </c>
      <c r="HR25" s="2">
        <v>-44.08</v>
      </c>
      <c r="HS25" s="2">
        <v>-44.08</v>
      </c>
      <c r="HT25" s="2">
        <v>-44.08</v>
      </c>
      <c r="HU25" s="2">
        <v>-44.08</v>
      </c>
      <c r="HV25" s="2">
        <v>-44.08</v>
      </c>
      <c r="HW25" s="2">
        <v>-44.08</v>
      </c>
      <c r="HX25" s="2">
        <v>-44.08</v>
      </c>
      <c r="HY25" s="2">
        <v>-44.08</v>
      </c>
    </row>
    <row r="26" spans="1:233" x14ac:dyDescent="0.5">
      <c r="A26" s="5" t="s">
        <v>21</v>
      </c>
      <c r="B26" s="2">
        <f t="shared" ref="B26:BM26" si="100">B7/B29</f>
        <v>0</v>
      </c>
      <c r="C26" s="6">
        <f t="shared" si="100"/>
        <v>0.43749281196089707</v>
      </c>
      <c r="D26" s="6">
        <f t="shared" si="100"/>
        <v>0</v>
      </c>
      <c r="E26" s="6">
        <f t="shared" si="100"/>
        <v>0</v>
      </c>
      <c r="F26" s="6">
        <f t="shared" si="100"/>
        <v>0</v>
      </c>
      <c r="G26" s="6">
        <f t="shared" si="100"/>
        <v>0</v>
      </c>
      <c r="H26" s="6">
        <f t="shared" si="100"/>
        <v>0</v>
      </c>
      <c r="I26" s="6">
        <f t="shared" si="100"/>
        <v>0.78586107685984397</v>
      </c>
      <c r="J26" s="6">
        <f t="shared" si="100"/>
        <v>0.41833568406205923</v>
      </c>
      <c r="K26" s="6">
        <f t="shared" si="100"/>
        <v>6.0261346400653372E-2</v>
      </c>
      <c r="L26" s="6">
        <f t="shared" si="100"/>
        <v>1.0978581979320532</v>
      </c>
      <c r="M26" s="6">
        <f t="shared" si="100"/>
        <v>0.92214640198511166</v>
      </c>
      <c r="N26" s="6">
        <f t="shared" si="100"/>
        <v>0.47365196078431376</v>
      </c>
      <c r="O26" s="6">
        <f t="shared" si="100"/>
        <v>2.7982326951399115</v>
      </c>
      <c r="P26" s="6">
        <f t="shared" si="100"/>
        <v>0.73542989036353146</v>
      </c>
      <c r="Q26" s="6">
        <f t="shared" si="100"/>
        <v>0</v>
      </c>
      <c r="R26" s="6">
        <f t="shared" si="100"/>
        <v>0.46167883211678828</v>
      </c>
      <c r="S26" s="6">
        <f t="shared" si="100"/>
        <v>0.32880688296879856</v>
      </c>
      <c r="T26" s="6">
        <f t="shared" si="100"/>
        <v>0.33404619332763047</v>
      </c>
      <c r="U26" s="6">
        <f t="shared" si="100"/>
        <v>0.32553437319468514</v>
      </c>
      <c r="V26" s="6">
        <f t="shared" si="100"/>
        <v>0.24755137315152681</v>
      </c>
      <c r="W26" s="6">
        <f t="shared" si="100"/>
        <v>6.9728443146164665E-2</v>
      </c>
      <c r="X26" s="6">
        <f t="shared" si="100"/>
        <v>0.95183887915936949</v>
      </c>
      <c r="Y26" s="6">
        <f t="shared" si="100"/>
        <v>0.56976201586560904</v>
      </c>
      <c r="Z26" s="6">
        <f t="shared" si="100"/>
        <v>2.0405128205128205</v>
      </c>
      <c r="AA26" s="6">
        <f t="shared" si="100"/>
        <v>0.32181987000928503</v>
      </c>
      <c r="AB26" s="6">
        <f t="shared" si="100"/>
        <v>3.5634531590413943</v>
      </c>
      <c r="AC26" s="6">
        <f t="shared" si="100"/>
        <v>0.20107079119571683</v>
      </c>
      <c r="AD26" s="6">
        <f t="shared" si="100"/>
        <v>0.28282828282828282</v>
      </c>
      <c r="AE26" s="6">
        <f t="shared" si="100"/>
        <v>1.5197568389057752</v>
      </c>
      <c r="AF26" s="6">
        <f t="shared" si="100"/>
        <v>0.11590316033632937</v>
      </c>
      <c r="AG26" s="6">
        <f t="shared" si="100"/>
        <v>7.6860902255639099</v>
      </c>
      <c r="AH26" s="6">
        <f t="shared" si="100"/>
        <v>0.72044609665427506</v>
      </c>
      <c r="AI26" s="6">
        <f t="shared" si="100"/>
        <v>2.5986078886310906E-2</v>
      </c>
      <c r="AJ26" s="6">
        <f t="shared" si="100"/>
        <v>0.16677115987460817</v>
      </c>
      <c r="AK26" s="6">
        <f t="shared" si="100"/>
        <v>0.49228578210301444</v>
      </c>
      <c r="AL26" s="6" t="e">
        <f t="shared" si="100"/>
        <v>#DIV/0!</v>
      </c>
      <c r="AM26" s="6">
        <f t="shared" si="100"/>
        <v>0.16753063147973613</v>
      </c>
      <c r="AN26" s="6">
        <f t="shared" si="100"/>
        <v>0.57310628302994715</v>
      </c>
      <c r="AO26" s="6">
        <f t="shared" si="100"/>
        <v>0.22579575596816975</v>
      </c>
      <c r="AP26" s="6">
        <f t="shared" si="100"/>
        <v>-2.0594965675057208E-2</v>
      </c>
      <c r="AQ26" s="6">
        <f t="shared" si="100"/>
        <v>0.28286491387126023</v>
      </c>
      <c r="AR26" s="6">
        <f t="shared" si="100"/>
        <v>1.2708333333333335</v>
      </c>
      <c r="AS26" s="6">
        <f t="shared" si="100"/>
        <v>0.19857389801210024</v>
      </c>
      <c r="AT26" s="6">
        <f t="shared" si="100"/>
        <v>-0.23879443585780524</v>
      </c>
      <c r="AU26" s="6">
        <f t="shared" si="100"/>
        <v>0.96728971962616828</v>
      </c>
      <c r="AV26" s="6">
        <f t="shared" si="100"/>
        <v>0.47761882787263493</v>
      </c>
      <c r="AW26" s="6" t="e">
        <f t="shared" si="100"/>
        <v>#DIV/0!</v>
      </c>
      <c r="AX26" s="6">
        <f t="shared" si="100"/>
        <v>0.35101679929266139</v>
      </c>
      <c r="AY26" s="6">
        <f t="shared" si="100"/>
        <v>1.0864745011086474</v>
      </c>
      <c r="AZ26" s="6" t="e">
        <f t="shared" si="100"/>
        <v>#DIV/0!</v>
      </c>
      <c r="BA26" s="6">
        <f t="shared" si="100"/>
        <v>0.76510772464529686</v>
      </c>
      <c r="BB26" s="6">
        <f t="shared" si="100"/>
        <v>1.5285714285714287</v>
      </c>
      <c r="BC26" s="6">
        <f t="shared" si="100"/>
        <v>0.2095115681233933</v>
      </c>
      <c r="BD26" s="32">
        <f t="shared" si="100"/>
        <v>0.2152680325568341</v>
      </c>
      <c r="BE26" s="6">
        <f t="shared" si="100"/>
        <v>0.30436877610022484</v>
      </c>
      <c r="BF26" s="37">
        <f t="shared" si="100"/>
        <v>0.3911290322580645</v>
      </c>
      <c r="BG26" s="6" t="e">
        <f t="shared" si="100"/>
        <v>#DIV/0!</v>
      </c>
      <c r="BH26" s="6">
        <f t="shared" si="100"/>
        <v>1.8059822150363785</v>
      </c>
      <c r="BI26" s="6">
        <f t="shared" si="100"/>
        <v>0.11808006453564587</v>
      </c>
      <c r="BJ26" s="32">
        <f t="shared" si="100"/>
        <v>0</v>
      </c>
      <c r="BK26" s="6">
        <f>BK7/BK29</f>
        <v>0.57776108189331332</v>
      </c>
      <c r="BL26" s="6">
        <f t="shared" si="100"/>
        <v>1.3908329226219813</v>
      </c>
      <c r="BM26" s="6">
        <f t="shared" si="100"/>
        <v>0.86131805157593122</v>
      </c>
      <c r="BN26" s="6">
        <f t="shared" ref="BN26:DY26" si="101">BN7/BN29</f>
        <v>0.31515349444807317</v>
      </c>
      <c r="BO26" s="6">
        <f t="shared" si="101"/>
        <v>7.3619631901840482E-2</v>
      </c>
      <c r="BP26" s="6">
        <f t="shared" si="101"/>
        <v>0.60518292682926833</v>
      </c>
      <c r="BQ26" s="6" t="e">
        <f t="shared" si="101"/>
        <v>#DIV/0!</v>
      </c>
      <c r="BR26" s="6" t="e">
        <f t="shared" si="101"/>
        <v>#DIV/0!</v>
      </c>
      <c r="BS26" s="6">
        <f t="shared" si="101"/>
        <v>0.26119310430360909</v>
      </c>
      <c r="BT26" s="6">
        <f t="shared" si="101"/>
        <v>0.8547182620502376</v>
      </c>
      <c r="BU26" s="6">
        <f t="shared" si="101"/>
        <v>9.7943192948090105E-2</v>
      </c>
      <c r="BV26" s="6">
        <f t="shared" si="101"/>
        <v>1.8560209424083769</v>
      </c>
      <c r="BW26" s="6">
        <f t="shared" si="101"/>
        <v>1.0118343195266273</v>
      </c>
      <c r="BX26" s="6">
        <f t="shared" si="101"/>
        <v>1.5533672172808131</v>
      </c>
      <c r="BY26" s="6">
        <f t="shared" si="101"/>
        <v>0.49833147942157957</v>
      </c>
      <c r="BZ26" s="6">
        <f t="shared" si="101"/>
        <v>9.6878363832077513E-2</v>
      </c>
      <c r="CA26" s="6">
        <f t="shared" si="101"/>
        <v>0.13710691823899371</v>
      </c>
      <c r="CB26" s="6">
        <f t="shared" si="101"/>
        <v>3.5414285714285714</v>
      </c>
      <c r="CC26" s="6">
        <f t="shared" si="101"/>
        <v>0.83371126228269077</v>
      </c>
      <c r="CD26" s="6">
        <f t="shared" si="101"/>
        <v>1.4848304580606784</v>
      </c>
      <c r="CE26" s="6" t="e">
        <f t="shared" si="101"/>
        <v>#DIV/0!</v>
      </c>
      <c r="CF26" s="6">
        <f t="shared" si="101"/>
        <v>0.14315569487983282</v>
      </c>
      <c r="CG26" s="6">
        <f t="shared" si="101"/>
        <v>0.91140776699029125</v>
      </c>
      <c r="CH26" s="6" t="e">
        <f t="shared" si="101"/>
        <v>#DIV/0!</v>
      </c>
      <c r="CI26" s="6">
        <f t="shared" si="101"/>
        <v>6.3272549259576552E-2</v>
      </c>
      <c r="CJ26" s="6">
        <f t="shared" si="101"/>
        <v>1.8265993265993263</v>
      </c>
      <c r="CK26" s="6">
        <f t="shared" si="101"/>
        <v>1.1108876759551853</v>
      </c>
      <c r="CL26" s="6" t="e">
        <f t="shared" si="101"/>
        <v>#DIV/0!</v>
      </c>
      <c r="CM26" s="6">
        <f t="shared" si="101"/>
        <v>1.2915129151291513</v>
      </c>
      <c r="CN26" s="6">
        <f t="shared" si="101"/>
        <v>0.70793950850661624</v>
      </c>
      <c r="CO26" s="6">
        <f t="shared" si="101"/>
        <v>0.12022132796780685</v>
      </c>
      <c r="CP26" s="6">
        <f t="shared" si="101"/>
        <v>6.7867036011080337E-2</v>
      </c>
      <c r="CQ26" s="6">
        <f t="shared" si="101"/>
        <v>0.14307228915662654</v>
      </c>
      <c r="CR26" s="6" t="e">
        <f t="shared" si="101"/>
        <v>#DIV/0!</v>
      </c>
      <c r="CS26" s="6">
        <f t="shared" si="101"/>
        <v>3.6513157894736841</v>
      </c>
      <c r="CT26" s="6">
        <f t="shared" si="101"/>
        <v>0.35750686005488036</v>
      </c>
      <c r="CU26" s="6">
        <f t="shared" si="101"/>
        <v>0.15783972125435541</v>
      </c>
      <c r="CV26" s="6">
        <f t="shared" si="101"/>
        <v>1.153061224489796</v>
      </c>
      <c r="CW26" s="6">
        <f t="shared" si="101"/>
        <v>0.90408673894912428</v>
      </c>
      <c r="CX26" s="6">
        <f t="shared" si="101"/>
        <v>1.1286549707602338</v>
      </c>
      <c r="CY26" s="6">
        <f t="shared" si="101"/>
        <v>1.3210568454763811</v>
      </c>
      <c r="CZ26" s="6">
        <f t="shared" si="101"/>
        <v>0.5423728813559322</v>
      </c>
      <c r="DA26" s="6">
        <f t="shared" si="101"/>
        <v>0.64358353510895883</v>
      </c>
      <c r="DB26" s="6">
        <f t="shared" si="101"/>
        <v>0.19687798661994266</v>
      </c>
      <c r="DC26" s="6" t="e">
        <f t="shared" si="101"/>
        <v>#DIV/0!</v>
      </c>
      <c r="DD26" s="6">
        <f t="shared" si="101"/>
        <v>-2.4742152466367715</v>
      </c>
      <c r="DE26" s="6">
        <f t="shared" si="101"/>
        <v>0.76096333572969088</v>
      </c>
      <c r="DF26" s="6" t="e">
        <f t="shared" si="101"/>
        <v>#DIV/0!</v>
      </c>
      <c r="DG26" s="6">
        <f t="shared" si="101"/>
        <v>0.79655596555965569</v>
      </c>
      <c r="DH26" s="6">
        <f t="shared" si="101"/>
        <v>-2.4528301886792454E-2</v>
      </c>
      <c r="DI26" s="6">
        <f t="shared" si="101"/>
        <v>2.4805583250249255</v>
      </c>
      <c r="DJ26" s="6">
        <f t="shared" si="101"/>
        <v>0.1641655297862665</v>
      </c>
      <c r="DK26" s="6">
        <f t="shared" si="101"/>
        <v>13.382716049382715</v>
      </c>
      <c r="DL26" s="6">
        <f t="shared" si="101"/>
        <v>0.54622802041973917</v>
      </c>
      <c r="DM26" s="6">
        <f t="shared" si="101"/>
        <v>0.27155824508320725</v>
      </c>
      <c r="DN26" s="6">
        <f t="shared" si="101"/>
        <v>0.70370370370370383</v>
      </c>
      <c r="DO26" s="6">
        <f t="shared" si="101"/>
        <v>0.48160261651676201</v>
      </c>
      <c r="DP26" s="6">
        <f t="shared" si="101"/>
        <v>0.18692936088419032</v>
      </c>
      <c r="DQ26" s="6" t="e">
        <f t="shared" si="101"/>
        <v>#DIV/0!</v>
      </c>
      <c r="DR26" s="6">
        <f t="shared" si="101"/>
        <v>5.4545454545454541</v>
      </c>
      <c r="DS26" s="6">
        <f t="shared" si="101"/>
        <v>0.39479836353009934</v>
      </c>
      <c r="DT26" s="6">
        <f t="shared" si="101"/>
        <v>1.7336572438162543</v>
      </c>
      <c r="DU26" s="6">
        <f t="shared" si="101"/>
        <v>-0.21495327102803738</v>
      </c>
      <c r="DV26" s="6">
        <f t="shared" si="101"/>
        <v>0.2050837666088966</v>
      </c>
      <c r="DW26" s="6" t="e">
        <f t="shared" si="101"/>
        <v>#DIV/0!</v>
      </c>
      <c r="DX26" s="6">
        <f t="shared" si="101"/>
        <v>1.0554926387315968</v>
      </c>
      <c r="DY26" s="6">
        <f t="shared" si="101"/>
        <v>2.9650180940892641</v>
      </c>
      <c r="DZ26" s="6">
        <f t="shared" ref="DZ26:FA26" si="102">DZ7/DZ29</f>
        <v>1.1140939597315436</v>
      </c>
      <c r="EA26" s="6">
        <f t="shared" si="102"/>
        <v>0.50558213716108458</v>
      </c>
      <c r="EB26" s="6">
        <f t="shared" si="102"/>
        <v>0.60882956878850103</v>
      </c>
      <c r="EC26" s="6">
        <f t="shared" si="102"/>
        <v>0.12703962703962704</v>
      </c>
      <c r="ED26" s="6">
        <f t="shared" si="102"/>
        <v>0.64519592055823938</v>
      </c>
      <c r="EE26" s="6">
        <f t="shared" si="102"/>
        <v>0.3621700879765396</v>
      </c>
      <c r="EF26" s="6">
        <f t="shared" si="102"/>
        <v>3.6530973451327431</v>
      </c>
      <c r="EG26" s="6">
        <f t="shared" si="102"/>
        <v>0.88709677419354849</v>
      </c>
      <c r="EH26" s="6">
        <f t="shared" si="102"/>
        <v>0.54402035623409672</v>
      </c>
      <c r="EI26" s="6" t="e">
        <f t="shared" si="102"/>
        <v>#DIV/0!</v>
      </c>
      <c r="EJ26" s="6">
        <f t="shared" si="102"/>
        <v>7.7028571428571428</v>
      </c>
      <c r="EK26" s="6" t="e">
        <f t="shared" si="102"/>
        <v>#DIV/0!</v>
      </c>
      <c r="EL26" s="6">
        <f t="shared" si="102"/>
        <v>0.14461738002594032</v>
      </c>
      <c r="EM26" s="6">
        <f t="shared" si="102"/>
        <v>0.30743862220593626</v>
      </c>
      <c r="EN26" s="6" t="e">
        <f t="shared" si="102"/>
        <v>#DIV/0!</v>
      </c>
      <c r="EO26" s="6">
        <f t="shared" si="102"/>
        <v>0</v>
      </c>
      <c r="EP26" s="6" t="e">
        <f t="shared" si="102"/>
        <v>#DIV/0!</v>
      </c>
      <c r="EQ26" s="6">
        <f t="shared" si="102"/>
        <v>6.671896010757508</v>
      </c>
      <c r="ER26" s="6" t="e">
        <f t="shared" si="102"/>
        <v>#DIV/0!</v>
      </c>
      <c r="ES26" s="6" t="e">
        <f t="shared" si="102"/>
        <v>#DIV/0!</v>
      </c>
      <c r="ET26" s="6" t="e">
        <f t="shared" si="102"/>
        <v>#DIV/0!</v>
      </c>
      <c r="EU26" s="6" t="e">
        <f t="shared" si="102"/>
        <v>#DIV/0!</v>
      </c>
      <c r="EV26" s="6" t="e">
        <f t="shared" si="102"/>
        <v>#DIV/0!</v>
      </c>
      <c r="EW26" s="6" t="e">
        <f t="shared" si="102"/>
        <v>#DIV/0!</v>
      </c>
      <c r="EX26" s="6" t="e">
        <f t="shared" si="102"/>
        <v>#DIV/0!</v>
      </c>
      <c r="EY26" s="6" t="e">
        <f t="shared" si="102"/>
        <v>#DIV/0!</v>
      </c>
      <c r="EZ26" s="32">
        <f t="shared" si="102"/>
        <v>-44.373333333333335</v>
      </c>
      <c r="FA26" s="6">
        <f t="shared" si="102"/>
        <v>1.1584362139917697</v>
      </c>
      <c r="FB26" s="6">
        <f t="shared" ref="FB26:HN26" si="103">FB7/FB29</f>
        <v>2.1519944979367263</v>
      </c>
      <c r="FC26" s="6">
        <f t="shared" si="103"/>
        <v>3.925925925925926</v>
      </c>
      <c r="FD26" s="6">
        <f t="shared" si="103"/>
        <v>18.928039702233249</v>
      </c>
      <c r="FE26" s="6">
        <f t="shared" si="103"/>
        <v>0.874076952973183</v>
      </c>
      <c r="FF26" s="6">
        <f t="shared" si="103"/>
        <v>3.2072176949941795</v>
      </c>
      <c r="FG26" s="6">
        <f t="shared" si="103"/>
        <v>-4.2540173053152035</v>
      </c>
      <c r="FH26" s="6">
        <f t="shared" si="103"/>
        <v>2.8360957642725602</v>
      </c>
      <c r="FI26" s="6">
        <f t="shared" si="103"/>
        <v>8.5324232081911262</v>
      </c>
      <c r="FJ26" s="6">
        <f t="shared" si="103"/>
        <v>-10.894736842105264</v>
      </c>
      <c r="FK26" s="6">
        <f t="shared" si="103"/>
        <v>2.2806880375293201</v>
      </c>
      <c r="FL26" s="6">
        <f t="shared" si="103"/>
        <v>-1.6233243967828419</v>
      </c>
      <c r="FM26" s="6">
        <f t="shared" si="103"/>
        <v>11.127450980392156</v>
      </c>
      <c r="FN26" s="32">
        <f t="shared" si="103"/>
        <v>1.686378466557912</v>
      </c>
      <c r="FO26" s="6">
        <f t="shared" si="103"/>
        <v>1.3357108892058962</v>
      </c>
      <c r="FP26" s="6">
        <f t="shared" si="103"/>
        <v>2.1876850207223208</v>
      </c>
      <c r="FQ26" s="6">
        <f t="shared" si="103"/>
        <v>4.6487603305785123</v>
      </c>
      <c r="FR26" s="6">
        <f t="shared" si="103"/>
        <v>6.0189243027888448</v>
      </c>
      <c r="FS26" s="6">
        <f t="shared" si="103"/>
        <v>1.6483516483516483</v>
      </c>
      <c r="FT26" s="6">
        <f t="shared" si="103"/>
        <v>1.317751479289941</v>
      </c>
      <c r="FU26" s="6">
        <f t="shared" si="103"/>
        <v>0.75759135357694296</v>
      </c>
      <c r="FV26" s="6">
        <f t="shared" si="103"/>
        <v>7.9602272727272725</v>
      </c>
      <c r="FW26" s="6">
        <f t="shared" si="103"/>
        <v>0.71894984853584643</v>
      </c>
      <c r="FX26" s="6">
        <f t="shared" si="103"/>
        <v>22.842041312272176</v>
      </c>
      <c r="FY26" s="6">
        <f t="shared" si="103"/>
        <v>-0.49948042951160371</v>
      </c>
      <c r="FZ26" s="6">
        <f t="shared" si="103"/>
        <v>9.0382716049382719</v>
      </c>
      <c r="GA26" s="6">
        <f t="shared" si="103"/>
        <v>2.759526938239159</v>
      </c>
      <c r="GB26" s="6">
        <f t="shared" si="103"/>
        <v>2.7361601884570081</v>
      </c>
      <c r="GC26" s="6">
        <f t="shared" si="103"/>
        <v>-1.7597684515195366</v>
      </c>
      <c r="GD26" s="6">
        <f t="shared" si="103"/>
        <v>0.94074969770253936</v>
      </c>
      <c r="GE26" s="6">
        <f t="shared" si="103"/>
        <v>3.5583999999999998</v>
      </c>
      <c r="GF26" s="6">
        <f t="shared" si="103"/>
        <v>2.3135869565217395</v>
      </c>
      <c r="GG26" s="6">
        <f t="shared" si="103"/>
        <v>-1.1002358490566038</v>
      </c>
      <c r="GH26" s="6">
        <f t="shared" si="103"/>
        <v>0.74318030605455754</v>
      </c>
      <c r="GI26" s="6">
        <f t="shared" si="103"/>
        <v>-3.0213963963963959</v>
      </c>
      <c r="GJ26" s="6">
        <f t="shared" si="103"/>
        <v>1.975111678366305</v>
      </c>
      <c r="GK26" s="6">
        <f t="shared" si="103"/>
        <v>1.698473282442748</v>
      </c>
      <c r="GL26" s="6">
        <f t="shared" si="103"/>
        <v>0.44151670951156813</v>
      </c>
      <c r="GM26" s="6">
        <f t="shared" si="103"/>
        <v>3.9174174174174174</v>
      </c>
      <c r="GN26" s="6">
        <f t="shared" si="103"/>
        <v>3.9982206405693947</v>
      </c>
      <c r="GO26" s="6">
        <f t="shared" si="103"/>
        <v>-8.5222222222222221</v>
      </c>
      <c r="GP26" s="6">
        <f t="shared" si="103"/>
        <v>1.4926857811585723</v>
      </c>
      <c r="GQ26" s="6">
        <f t="shared" si="103"/>
        <v>1.6865900383141763</v>
      </c>
      <c r="GR26" s="6">
        <f t="shared" si="103"/>
        <v>119.19148936170214</v>
      </c>
      <c r="GS26" s="6">
        <f t="shared" si="103"/>
        <v>-1.3231270358306189</v>
      </c>
      <c r="GT26" s="6" t="e">
        <f t="shared" si="103"/>
        <v>#DIV/0!</v>
      </c>
      <c r="GU26" s="6" t="e">
        <f t="shared" si="103"/>
        <v>#DIV/0!</v>
      </c>
      <c r="GV26" s="6" t="e">
        <f t="shared" si="103"/>
        <v>#DIV/0!</v>
      </c>
      <c r="GW26" s="6" t="e">
        <f t="shared" si="103"/>
        <v>#DIV/0!</v>
      </c>
      <c r="GX26" s="6" t="e">
        <f t="shared" si="103"/>
        <v>#DIV/0!</v>
      </c>
      <c r="GY26" s="6" t="e">
        <f t="shared" si="103"/>
        <v>#DIV/0!</v>
      </c>
      <c r="GZ26" s="6" t="e">
        <f t="shared" si="103"/>
        <v>#DIV/0!</v>
      </c>
      <c r="HA26" s="6" t="e">
        <f t="shared" si="103"/>
        <v>#DIV/0!</v>
      </c>
      <c r="HB26" s="6">
        <f t="shared" si="103"/>
        <v>9.5342741935483861</v>
      </c>
      <c r="HC26" s="6">
        <f t="shared" si="103"/>
        <v>0.41904761904761906</v>
      </c>
      <c r="HD26" s="6">
        <f t="shared" si="103"/>
        <v>0.75675675675675669</v>
      </c>
      <c r="HE26" s="6">
        <f t="shared" si="103"/>
        <v>0.49426605504587146</v>
      </c>
      <c r="HF26" s="6">
        <f t="shared" si="103"/>
        <v>1.9677852348993288</v>
      </c>
      <c r="HG26" s="6">
        <f t="shared" si="103"/>
        <v>2.0043415340086828</v>
      </c>
      <c r="HH26" s="6">
        <f t="shared" si="103"/>
        <v>2.2905844155844153</v>
      </c>
      <c r="HI26" s="6">
        <f t="shared" si="103"/>
        <v>0.33785845027455763</v>
      </c>
      <c r="HJ26" s="6" t="e">
        <f t="shared" si="103"/>
        <v>#DIV/0!</v>
      </c>
      <c r="HK26" s="6">
        <f t="shared" si="103"/>
        <v>0.88782051282051289</v>
      </c>
      <c r="HL26" s="6">
        <f t="shared" si="103"/>
        <v>7.4156626506024086</v>
      </c>
      <c r="HM26" s="6">
        <f t="shared" si="103"/>
        <v>1.484943538268507</v>
      </c>
      <c r="HN26" s="6">
        <f t="shared" si="103"/>
        <v>0.50428921568627449</v>
      </c>
      <c r="HO26" s="6">
        <f t="shared" ref="HO26:HY26" si="104">HO7/HO29</f>
        <v>1.6641025641025642</v>
      </c>
      <c r="HP26" s="6">
        <f t="shared" si="104"/>
        <v>1.9686670207116306</v>
      </c>
      <c r="HQ26" s="6">
        <f t="shared" si="104"/>
        <v>2.3900573613766727</v>
      </c>
      <c r="HR26" s="6">
        <f t="shared" si="104"/>
        <v>2.6753121998078773</v>
      </c>
      <c r="HS26" s="6">
        <f t="shared" si="104"/>
        <v>7.0512820512820511</v>
      </c>
      <c r="HT26" s="6">
        <f t="shared" si="104"/>
        <v>0.96857670979667287</v>
      </c>
      <c r="HU26" s="6">
        <f t="shared" si="104"/>
        <v>0.97312925170068032</v>
      </c>
      <c r="HV26" s="6">
        <f t="shared" si="104"/>
        <v>2.2147293700088735</v>
      </c>
      <c r="HW26" s="6">
        <f t="shared" si="104"/>
        <v>0.44795859689476714</v>
      </c>
      <c r="HX26" s="6">
        <f t="shared" si="104"/>
        <v>0.51828703703703705</v>
      </c>
      <c r="HY26" s="6">
        <f t="shared" si="104"/>
        <v>0.20788487120570809</v>
      </c>
    </row>
    <row r="27" spans="1:233" x14ac:dyDescent="0.5">
      <c r="A27" s="5" t="s">
        <v>22</v>
      </c>
      <c r="B27" s="2">
        <f t="shared" ref="B27:C27" si="105">B29*B26</f>
        <v>0</v>
      </c>
      <c r="C27" s="2">
        <f t="shared" si="105"/>
        <v>38.04</v>
      </c>
      <c r="D27" s="2">
        <f t="shared" ref="D27" si="106">D29*D26</f>
        <v>0</v>
      </c>
      <c r="E27" s="2">
        <f t="shared" ref="E27" si="107">E29*E26</f>
        <v>0</v>
      </c>
      <c r="F27" s="2">
        <f t="shared" ref="F27" si="108">F29*F26</f>
        <v>0</v>
      </c>
      <c r="G27" s="2">
        <f t="shared" ref="G27" si="109">G29*G26</f>
        <v>0</v>
      </c>
      <c r="H27" s="2">
        <f t="shared" ref="H27" si="110">H29*H26</f>
        <v>0</v>
      </c>
      <c r="I27" s="2">
        <f t="shared" ref="I27" si="111">I29*I26</f>
        <v>19.12</v>
      </c>
      <c r="J27" s="2">
        <f t="shared" ref="J27" si="112">J29*J26</f>
        <v>14.830000000000002</v>
      </c>
      <c r="K27" s="2">
        <f t="shared" ref="K27" si="113">K29*K26</f>
        <v>10.33</v>
      </c>
      <c r="L27" s="2">
        <f t="shared" ref="L27" si="114">L29*L26</f>
        <v>29.729999999999997</v>
      </c>
      <c r="M27" s="2">
        <f t="shared" ref="M27" si="115">M29*M26</f>
        <v>29.73</v>
      </c>
      <c r="N27" s="2">
        <f t="shared" ref="N27" si="116">N29*N26</f>
        <v>15.46</v>
      </c>
      <c r="O27" s="2">
        <f t="shared" ref="O27" si="117">O29*O26</f>
        <v>19</v>
      </c>
      <c r="P27" s="2">
        <f t="shared" ref="P27" si="118">P29*P26</f>
        <v>25.49</v>
      </c>
      <c r="Q27" s="2">
        <f t="shared" ref="Q27" si="119">Q29*Q26</f>
        <v>0</v>
      </c>
      <c r="R27" s="2">
        <f t="shared" ref="R27" si="120">R29*R26</f>
        <v>7.59</v>
      </c>
      <c r="S27" s="2">
        <f t="shared" ref="S27" si="121">S29*S26</f>
        <v>31.72</v>
      </c>
      <c r="T27" s="2">
        <f t="shared" ref="T27" si="122">T29*T26</f>
        <v>7.81</v>
      </c>
      <c r="U27" s="2">
        <f t="shared" ref="U27" si="123">U29*U26</f>
        <v>22.54</v>
      </c>
      <c r="V27" s="2">
        <f t="shared" ref="V27" si="124">V29*V26</f>
        <v>12.89</v>
      </c>
      <c r="W27" s="2">
        <f t="shared" ref="W27" si="125">W29*W26</f>
        <v>12.89</v>
      </c>
      <c r="X27" s="2">
        <f t="shared" ref="X27" si="126">X29*X26</f>
        <v>10.87</v>
      </c>
      <c r="Y27" s="2">
        <f t="shared" ref="Y27" si="127">Y29*Y26</f>
        <v>24.42</v>
      </c>
      <c r="Z27" s="2">
        <f t="shared" ref="Z27" si="128">Z29*Z26</f>
        <v>39.79</v>
      </c>
      <c r="AA27" s="2">
        <f t="shared" ref="AA27" si="129">AA29*AA26</f>
        <v>17.329999999999998</v>
      </c>
      <c r="AB27" s="2">
        <f t="shared" ref="AB27" si="130">AB29*AB26</f>
        <v>130.85</v>
      </c>
      <c r="AC27" s="2">
        <f t="shared" ref="AC27" si="131">AC29*AC26</f>
        <v>6.7599999999999989</v>
      </c>
      <c r="AD27" s="2">
        <f t="shared" ref="AD27" si="132">AD29*AD26</f>
        <v>8.68</v>
      </c>
      <c r="AE27" s="2">
        <f t="shared" ref="AE27" si="133">AE29*AE26</f>
        <v>15</v>
      </c>
      <c r="AF27" s="2">
        <f t="shared" ref="AF27" si="134">AF29*AF26</f>
        <v>15.990000000000002</v>
      </c>
      <c r="AG27" s="2">
        <f t="shared" ref="AG27" si="135">AG29*AG26</f>
        <v>40.89</v>
      </c>
      <c r="AH27" s="2">
        <f t="shared" ref="AH27" si="136">AH29*AH26</f>
        <v>9.69</v>
      </c>
      <c r="AI27" s="2">
        <f t="shared" ref="AI27" si="137">AI29*AI26</f>
        <v>5.04</v>
      </c>
      <c r="AJ27" s="2">
        <f t="shared" ref="AJ27" si="138">AJ29*AJ26</f>
        <v>5.32</v>
      </c>
      <c r="AK27" s="2">
        <f t="shared" ref="AK27" si="139">AK29*AK26</f>
        <v>20.74</v>
      </c>
      <c r="AL27" s="2" t="e">
        <f t="shared" ref="AL27" si="140">AL29*AL26</f>
        <v>#DIV/0!</v>
      </c>
      <c r="AM27" s="2">
        <f t="shared" ref="AM27" si="141">AM29*AM26</f>
        <v>7.1100000000000012</v>
      </c>
      <c r="AN27" s="2">
        <f t="shared" ref="AN27" si="142">AN29*AN26</f>
        <v>9.76</v>
      </c>
      <c r="AO27" s="2">
        <f t="shared" ref="AO27" si="143">AO29*AO26</f>
        <v>6.81</v>
      </c>
      <c r="AP27" s="2">
        <f t="shared" ref="AP27" si="144">AP29*AP26</f>
        <v>-0.36</v>
      </c>
      <c r="AQ27" s="2">
        <f t="shared" ref="AQ27" si="145">AQ29*AQ26</f>
        <v>6.24</v>
      </c>
      <c r="AR27" s="2">
        <f t="shared" ref="AR27" si="146">AR29*AR26</f>
        <v>14.64</v>
      </c>
      <c r="AS27" s="2">
        <f t="shared" ref="AS27" si="147">AS29*AS26</f>
        <v>9.19</v>
      </c>
      <c r="AT27" s="2">
        <f t="shared" ref="AT27" si="148">AT29*AT26</f>
        <v>-3.09</v>
      </c>
      <c r="AU27" s="2">
        <f t="shared" ref="AU27" si="149">AU29*AU26</f>
        <v>10.35</v>
      </c>
      <c r="AV27" s="2">
        <f t="shared" ref="AV27" si="150">AV29*AV26</f>
        <v>10.35</v>
      </c>
      <c r="AW27" s="2" t="e">
        <f t="shared" ref="AW27" si="151">AW29*AW26</f>
        <v>#DIV/0!</v>
      </c>
      <c r="AX27" s="2">
        <f t="shared" ref="AX27" si="152">AX29*AX26</f>
        <v>11.91</v>
      </c>
      <c r="AY27" s="2">
        <f t="shared" ref="AY27" si="153">AY29*AY26</f>
        <v>14.7</v>
      </c>
      <c r="AZ27" s="2" t="e">
        <f t="shared" ref="AZ27" si="154">AZ29*AZ26</f>
        <v>#DIV/0!</v>
      </c>
      <c r="BA27" s="2">
        <f t="shared" ref="BA27" si="155">BA29*BA26</f>
        <v>14.56</v>
      </c>
      <c r="BB27" s="2">
        <f t="shared" ref="BB27" si="156">BB29*BB26</f>
        <v>17.12</v>
      </c>
      <c r="BC27" s="2">
        <f t="shared" ref="BC27" si="157">BC29*BC26</f>
        <v>4.8899999999999997</v>
      </c>
      <c r="BD27" s="34">
        <f t="shared" ref="BD27" si="158">BD29*BD26</f>
        <v>7.67</v>
      </c>
      <c r="BE27" s="2">
        <f t="shared" ref="BE27" si="159">BE29*BE26</f>
        <v>18.95</v>
      </c>
      <c r="BF27" s="40">
        <f t="shared" ref="BF27" si="160">BF29*BF26</f>
        <v>11.64</v>
      </c>
      <c r="BG27" s="2" t="e">
        <f t="shared" ref="BG27" si="161">BG29*BG26</f>
        <v>#DIV/0!</v>
      </c>
      <c r="BH27" s="2">
        <f t="shared" ref="BH27" si="162">BH29*BH26</f>
        <v>22.34</v>
      </c>
      <c r="BI27" s="2">
        <f t="shared" ref="BI27" si="163">BI29*BI26</f>
        <v>11.71</v>
      </c>
      <c r="BJ27" s="34">
        <f t="shared" ref="BJ27" si="164">BJ29*BJ26</f>
        <v>0</v>
      </c>
      <c r="BK27" s="2">
        <f>BK29*BK26</f>
        <v>23.07</v>
      </c>
      <c r="BL27" s="2">
        <f t="shared" ref="BL27:DV27" si="165">BL29*BL26</f>
        <v>28.22</v>
      </c>
      <c r="BM27" s="2">
        <f t="shared" si="165"/>
        <v>15.03</v>
      </c>
      <c r="BN27" s="2">
        <f t="shared" si="165"/>
        <v>9.65</v>
      </c>
      <c r="BO27" s="2">
        <f t="shared" si="165"/>
        <v>0.6</v>
      </c>
      <c r="BP27" s="2">
        <f t="shared" si="165"/>
        <v>7.94</v>
      </c>
      <c r="BQ27" s="2" t="e">
        <f t="shared" si="165"/>
        <v>#DIV/0!</v>
      </c>
      <c r="BR27" s="2" t="e">
        <f t="shared" si="165"/>
        <v>#DIV/0!</v>
      </c>
      <c r="BS27" s="2">
        <f t="shared" si="165"/>
        <v>63.18</v>
      </c>
      <c r="BT27" s="2">
        <f t="shared" si="165"/>
        <v>12.59</v>
      </c>
      <c r="BU27" s="2">
        <f t="shared" si="165"/>
        <v>7</v>
      </c>
      <c r="BV27" s="2">
        <f t="shared" si="165"/>
        <v>21.27</v>
      </c>
      <c r="BW27" s="2">
        <f t="shared" si="165"/>
        <v>17.099999999999998</v>
      </c>
      <c r="BX27" s="2">
        <f t="shared" si="165"/>
        <v>24.45</v>
      </c>
      <c r="BY27" s="2">
        <f t="shared" si="165"/>
        <v>8.9600000000000009</v>
      </c>
      <c r="BZ27" s="2">
        <f t="shared" si="165"/>
        <v>3.6</v>
      </c>
      <c r="CA27" s="2">
        <f t="shared" si="165"/>
        <v>4.3600000000000003</v>
      </c>
      <c r="CB27" s="2">
        <f t="shared" si="165"/>
        <v>24.79</v>
      </c>
      <c r="CC27" s="2">
        <f t="shared" si="165"/>
        <v>22.06</v>
      </c>
      <c r="CD27" s="2">
        <f t="shared" si="165"/>
        <v>24.96</v>
      </c>
      <c r="CE27" s="2" t="e">
        <f t="shared" si="165"/>
        <v>#DIV/0!</v>
      </c>
      <c r="CF27" s="2">
        <f t="shared" si="165"/>
        <v>2.74</v>
      </c>
      <c r="CG27" s="2">
        <f t="shared" si="165"/>
        <v>7.51</v>
      </c>
      <c r="CH27" s="2" t="e">
        <f t="shared" si="165"/>
        <v>#DIV/0!</v>
      </c>
      <c r="CI27" s="2">
        <f t="shared" si="165"/>
        <v>5.17</v>
      </c>
      <c r="CJ27" s="2">
        <f t="shared" si="165"/>
        <v>10.85</v>
      </c>
      <c r="CK27" s="2">
        <f t="shared" si="165"/>
        <v>38.67</v>
      </c>
      <c r="CL27" s="2" t="e">
        <f t="shared" si="165"/>
        <v>#DIV/0!</v>
      </c>
      <c r="CM27" s="2">
        <f t="shared" si="165"/>
        <v>14</v>
      </c>
      <c r="CN27" s="2">
        <f t="shared" si="165"/>
        <v>22.47</v>
      </c>
      <c r="CO27" s="2">
        <f t="shared" si="165"/>
        <v>2.39</v>
      </c>
      <c r="CP27" s="2">
        <f t="shared" si="165"/>
        <v>0.98</v>
      </c>
      <c r="CQ27" s="2">
        <f t="shared" si="165"/>
        <v>8.5500000000000007</v>
      </c>
      <c r="CR27" s="2" t="e">
        <f t="shared" si="165"/>
        <v>#DIV/0!</v>
      </c>
      <c r="CS27" s="2">
        <f t="shared" si="165"/>
        <v>61.04999999999999</v>
      </c>
      <c r="CT27" s="2">
        <f t="shared" si="165"/>
        <v>9.1199999999999992</v>
      </c>
      <c r="CU27" s="2">
        <f t="shared" si="165"/>
        <v>4.53</v>
      </c>
      <c r="CV27" s="2">
        <f t="shared" si="165"/>
        <v>15.820000000000002</v>
      </c>
      <c r="CW27" s="2">
        <f t="shared" si="165"/>
        <v>10.84</v>
      </c>
      <c r="CX27" s="2">
        <f t="shared" si="165"/>
        <v>7.7199999999999989</v>
      </c>
      <c r="CY27" s="2">
        <f t="shared" si="165"/>
        <v>16.5</v>
      </c>
      <c r="CZ27" s="2">
        <f t="shared" si="165"/>
        <v>22.080000000000002</v>
      </c>
      <c r="DA27" s="2">
        <f t="shared" si="165"/>
        <v>13.29</v>
      </c>
      <c r="DB27" s="2">
        <f t="shared" si="165"/>
        <v>12.36</v>
      </c>
      <c r="DC27" s="2" t="e">
        <f t="shared" si="165"/>
        <v>#DIV/0!</v>
      </c>
      <c r="DD27" s="2">
        <f t="shared" si="165"/>
        <v>22.07</v>
      </c>
      <c r="DE27" s="2">
        <f t="shared" si="165"/>
        <v>21.17</v>
      </c>
      <c r="DF27" s="2" t="e">
        <f t="shared" si="165"/>
        <v>#DIV/0!</v>
      </c>
      <c r="DG27" s="2">
        <f t="shared" si="165"/>
        <v>32.380000000000003</v>
      </c>
      <c r="DH27" s="2">
        <f t="shared" si="165"/>
        <v>-0.26</v>
      </c>
      <c r="DI27" s="2">
        <f t="shared" si="165"/>
        <v>24.88</v>
      </c>
      <c r="DJ27" s="2">
        <f t="shared" si="165"/>
        <v>3.61</v>
      </c>
      <c r="DK27" s="2">
        <f t="shared" si="165"/>
        <v>21.68</v>
      </c>
      <c r="DL27" s="2">
        <f t="shared" si="165"/>
        <v>9.6300000000000008</v>
      </c>
      <c r="DM27" s="2">
        <f t="shared" si="165"/>
        <v>14.36</v>
      </c>
      <c r="DN27" s="2">
        <f t="shared" si="165"/>
        <v>9.8800000000000008</v>
      </c>
      <c r="DO27" s="2">
        <f t="shared" si="165"/>
        <v>5.89</v>
      </c>
      <c r="DP27" s="2">
        <f t="shared" si="165"/>
        <v>7.78</v>
      </c>
      <c r="DQ27" s="2" t="e">
        <f t="shared" si="165"/>
        <v>#DIV/0!</v>
      </c>
      <c r="DR27" s="2">
        <f t="shared" si="165"/>
        <v>14.999999999999998</v>
      </c>
      <c r="DS27" s="2">
        <f t="shared" si="165"/>
        <v>13.51</v>
      </c>
      <c r="DT27" s="2">
        <f t="shared" si="165"/>
        <v>39.25</v>
      </c>
      <c r="DU27" s="2">
        <f t="shared" si="165"/>
        <v>-4.5999999999999996</v>
      </c>
      <c r="DV27" s="2">
        <f t="shared" si="165"/>
        <v>7.1</v>
      </c>
      <c r="DW27" s="2" t="e">
        <f t="shared" ref="DW27:FA27" si="166">DW29*DW26</f>
        <v>#DIV/0!</v>
      </c>
      <c r="DX27" s="2">
        <f t="shared" si="166"/>
        <v>9.32</v>
      </c>
      <c r="DY27" s="2">
        <f t="shared" si="166"/>
        <v>24.58</v>
      </c>
      <c r="DZ27" s="2">
        <f t="shared" si="166"/>
        <v>6.64</v>
      </c>
      <c r="EA27" s="2">
        <f t="shared" si="166"/>
        <v>3.17</v>
      </c>
      <c r="EB27" s="2">
        <f t="shared" si="166"/>
        <v>5.9300000000000006</v>
      </c>
      <c r="EC27" s="2">
        <f t="shared" si="166"/>
        <v>2.1800000000000002</v>
      </c>
      <c r="ED27" s="2">
        <f t="shared" si="166"/>
        <v>12.02</v>
      </c>
      <c r="EE27" s="2">
        <f t="shared" si="166"/>
        <v>4.9400000000000004</v>
      </c>
      <c r="EF27" s="2">
        <f t="shared" si="166"/>
        <v>20.64</v>
      </c>
      <c r="EG27" s="2">
        <f t="shared" si="166"/>
        <v>17.600000000000001</v>
      </c>
      <c r="EH27" s="2">
        <f t="shared" si="166"/>
        <v>21.38</v>
      </c>
      <c r="EI27" s="2" t="e">
        <f t="shared" si="166"/>
        <v>#DIV/0!</v>
      </c>
      <c r="EJ27" s="2">
        <f t="shared" si="166"/>
        <v>13.48</v>
      </c>
      <c r="EK27" s="2" t="e">
        <f t="shared" si="166"/>
        <v>#DIV/0!</v>
      </c>
      <c r="EL27" s="2">
        <f t="shared" si="166"/>
        <v>2.23</v>
      </c>
      <c r="EM27" s="2">
        <f t="shared" si="166"/>
        <v>8.39</v>
      </c>
      <c r="EN27" s="2" t="e">
        <f t="shared" si="166"/>
        <v>#DIV/0!</v>
      </c>
      <c r="EO27" s="2">
        <f t="shared" si="166"/>
        <v>0</v>
      </c>
      <c r="EP27" s="2" t="e">
        <f t="shared" si="166"/>
        <v>#DIV/0!</v>
      </c>
      <c r="EQ27" s="2">
        <f t="shared" si="166"/>
        <v>148.85</v>
      </c>
      <c r="ER27" s="2" t="e">
        <f t="shared" si="166"/>
        <v>#DIV/0!</v>
      </c>
      <c r="ES27" s="2" t="e">
        <f t="shared" si="166"/>
        <v>#DIV/0!</v>
      </c>
      <c r="ET27" s="2" t="e">
        <f t="shared" si="166"/>
        <v>#DIV/0!</v>
      </c>
      <c r="EU27" s="2" t="e">
        <f t="shared" si="166"/>
        <v>#DIV/0!</v>
      </c>
      <c r="EV27" s="2" t="e">
        <f t="shared" si="166"/>
        <v>#DIV/0!</v>
      </c>
      <c r="EW27" s="2" t="e">
        <f t="shared" si="166"/>
        <v>#DIV/0!</v>
      </c>
      <c r="EX27" s="2" t="e">
        <f t="shared" si="166"/>
        <v>#DIV/0!</v>
      </c>
      <c r="EY27" s="2" t="e">
        <f t="shared" si="166"/>
        <v>#DIV/0!</v>
      </c>
      <c r="EZ27" s="34">
        <f t="shared" si="166"/>
        <v>33.28</v>
      </c>
      <c r="FA27" s="2">
        <f t="shared" si="166"/>
        <v>33.78</v>
      </c>
      <c r="FB27" s="2">
        <f t="shared" ref="FB27:HN27" si="167">FB29*FB26</f>
        <v>31.29</v>
      </c>
      <c r="FC27" s="2">
        <f t="shared" si="167"/>
        <v>47.7</v>
      </c>
      <c r="FD27" s="2">
        <f t="shared" si="167"/>
        <v>76.28</v>
      </c>
      <c r="FE27" s="2">
        <f t="shared" si="167"/>
        <v>22.49</v>
      </c>
      <c r="FF27" s="2">
        <f t="shared" si="167"/>
        <v>27.55</v>
      </c>
      <c r="FG27" s="2">
        <f t="shared" si="167"/>
        <v>68.83</v>
      </c>
      <c r="FH27" s="2">
        <f t="shared" si="167"/>
        <v>30.8</v>
      </c>
      <c r="FI27" s="2">
        <f t="shared" si="167"/>
        <v>25</v>
      </c>
      <c r="FJ27" s="2">
        <f t="shared" si="167"/>
        <v>31.050000000000004</v>
      </c>
      <c r="FK27" s="2">
        <f t="shared" si="167"/>
        <v>29.17</v>
      </c>
      <c r="FL27" s="2">
        <f t="shared" si="167"/>
        <v>36.33</v>
      </c>
      <c r="FM27" s="2">
        <f t="shared" si="167"/>
        <v>34.049999999999997</v>
      </c>
      <c r="FN27" s="34">
        <f t="shared" si="167"/>
        <v>41.35</v>
      </c>
      <c r="FO27" s="2">
        <f t="shared" si="167"/>
        <v>28.09</v>
      </c>
      <c r="FP27" s="2">
        <f t="shared" si="167"/>
        <v>73.900000000000006</v>
      </c>
      <c r="FQ27" s="2">
        <f t="shared" si="167"/>
        <v>67.5</v>
      </c>
      <c r="FR27" s="2">
        <f t="shared" si="167"/>
        <v>60.43</v>
      </c>
      <c r="FS27" s="2">
        <f t="shared" si="167"/>
        <v>21</v>
      </c>
      <c r="FT27" s="2">
        <f t="shared" si="167"/>
        <v>22.27</v>
      </c>
      <c r="FU27" s="2">
        <f t="shared" si="167"/>
        <v>29.44</v>
      </c>
      <c r="FV27" s="2">
        <f t="shared" si="167"/>
        <v>28.02</v>
      </c>
      <c r="FW27" s="2">
        <f t="shared" si="167"/>
        <v>21.36</v>
      </c>
      <c r="FX27" s="2">
        <f t="shared" si="167"/>
        <v>187.99</v>
      </c>
      <c r="FY27" s="2">
        <f t="shared" si="167"/>
        <v>43.26</v>
      </c>
      <c r="FZ27" s="2">
        <f t="shared" si="167"/>
        <v>73.209999999999994</v>
      </c>
      <c r="GA27" s="2">
        <f t="shared" si="167"/>
        <v>42</v>
      </c>
      <c r="GB27" s="2">
        <f t="shared" si="167"/>
        <v>23.23</v>
      </c>
      <c r="GC27" s="2">
        <f t="shared" si="167"/>
        <v>36.479999999999997</v>
      </c>
      <c r="GD27" s="2">
        <f t="shared" si="167"/>
        <v>23.34</v>
      </c>
      <c r="GE27" s="2">
        <f t="shared" si="167"/>
        <v>66.72</v>
      </c>
      <c r="GF27" s="2">
        <f t="shared" si="167"/>
        <v>42.57</v>
      </c>
      <c r="GG27" s="2">
        <f t="shared" si="167"/>
        <v>46.65</v>
      </c>
      <c r="GH27" s="2">
        <f t="shared" si="167"/>
        <v>22.34</v>
      </c>
      <c r="GI27" s="2">
        <f t="shared" si="167"/>
        <v>26.83</v>
      </c>
      <c r="GJ27" s="2">
        <f t="shared" si="167"/>
        <v>30.95</v>
      </c>
      <c r="GK27" s="2">
        <f t="shared" si="167"/>
        <v>26.7</v>
      </c>
      <c r="GL27" s="2">
        <f t="shared" si="167"/>
        <v>20.61</v>
      </c>
      <c r="GM27" s="2">
        <f t="shared" si="167"/>
        <v>26.09</v>
      </c>
      <c r="GN27" s="2">
        <f t="shared" si="167"/>
        <v>22.47</v>
      </c>
      <c r="GO27" s="2">
        <f t="shared" si="167"/>
        <v>23.01</v>
      </c>
      <c r="GP27" s="2">
        <f t="shared" si="167"/>
        <v>25.51</v>
      </c>
      <c r="GQ27" s="2">
        <f t="shared" si="167"/>
        <v>22.01</v>
      </c>
      <c r="GR27" s="2">
        <f t="shared" si="167"/>
        <v>56.02</v>
      </c>
      <c r="GS27" s="2">
        <f t="shared" si="167"/>
        <v>20.309999999999999</v>
      </c>
      <c r="GT27" s="2" t="e">
        <f t="shared" si="167"/>
        <v>#DIV/0!</v>
      </c>
      <c r="GU27" s="2" t="e">
        <f t="shared" si="167"/>
        <v>#DIV/0!</v>
      </c>
      <c r="GV27" s="2" t="e">
        <f t="shared" si="167"/>
        <v>#DIV/0!</v>
      </c>
      <c r="GW27" s="2" t="e">
        <f t="shared" si="167"/>
        <v>#DIV/0!</v>
      </c>
      <c r="GX27" s="2" t="e">
        <f t="shared" si="167"/>
        <v>#DIV/0!</v>
      </c>
      <c r="GY27" s="2" t="e">
        <f t="shared" si="167"/>
        <v>#DIV/0!</v>
      </c>
      <c r="GZ27" s="2" t="e">
        <f t="shared" si="167"/>
        <v>#DIV/0!</v>
      </c>
      <c r="HA27" s="2" t="e">
        <f t="shared" si="167"/>
        <v>#DIV/0!</v>
      </c>
      <c r="HB27" s="2">
        <f t="shared" si="167"/>
        <v>47.289999999999992</v>
      </c>
      <c r="HC27" s="2">
        <f t="shared" si="167"/>
        <v>14.96</v>
      </c>
      <c r="HD27" s="2">
        <f t="shared" si="167"/>
        <v>31.64</v>
      </c>
      <c r="HE27" s="2">
        <f t="shared" si="167"/>
        <v>8.6199999999999992</v>
      </c>
      <c r="HF27" s="2">
        <f t="shared" si="167"/>
        <v>29.32</v>
      </c>
      <c r="HG27" s="2">
        <f t="shared" si="167"/>
        <v>-27.699999999999996</v>
      </c>
      <c r="HH27" s="2">
        <f t="shared" si="167"/>
        <v>14.109999999999998</v>
      </c>
      <c r="HI27" s="2">
        <f t="shared" si="167"/>
        <v>22.15</v>
      </c>
      <c r="HJ27" s="2" t="e">
        <f t="shared" si="167"/>
        <v>#DIV/0!</v>
      </c>
      <c r="HK27" s="2">
        <f t="shared" si="167"/>
        <v>16.62</v>
      </c>
      <c r="HL27" s="2">
        <f t="shared" si="167"/>
        <v>61.55</v>
      </c>
      <c r="HM27" s="2">
        <f t="shared" si="167"/>
        <v>23.67</v>
      </c>
      <c r="HN27" s="2">
        <f t="shared" si="167"/>
        <v>16.46</v>
      </c>
      <c r="HO27" s="2">
        <f t="shared" ref="HO27:HY27" si="168">HO29*HO26</f>
        <v>19.47</v>
      </c>
      <c r="HP27" s="2">
        <f t="shared" si="168"/>
        <v>37.07</v>
      </c>
      <c r="HQ27" s="2">
        <f t="shared" si="168"/>
        <v>12.5</v>
      </c>
      <c r="HR27" s="2">
        <f t="shared" si="168"/>
        <v>27.85</v>
      </c>
      <c r="HS27" s="2">
        <f t="shared" si="168"/>
        <v>22</v>
      </c>
      <c r="HT27" s="2">
        <f t="shared" si="168"/>
        <v>15.72</v>
      </c>
      <c r="HU27" s="2">
        <f t="shared" si="168"/>
        <v>28.61</v>
      </c>
      <c r="HV27" s="2">
        <f t="shared" si="168"/>
        <v>24.960000000000004</v>
      </c>
      <c r="HW27" s="2">
        <f t="shared" si="168"/>
        <v>38.950000000000003</v>
      </c>
      <c r="HX27" s="2">
        <f t="shared" si="168"/>
        <v>22.39</v>
      </c>
      <c r="HY27" s="2">
        <f t="shared" si="168"/>
        <v>17.190000000000001</v>
      </c>
    </row>
    <row r="28" spans="1:233" x14ac:dyDescent="0.5">
      <c r="A28" s="13" t="s">
        <v>23</v>
      </c>
      <c r="B28" s="9">
        <v>0.29039999999999999</v>
      </c>
      <c r="C28" s="16">
        <v>71.069999999999993</v>
      </c>
      <c r="D28" s="16">
        <v>68.27</v>
      </c>
      <c r="E28" s="16">
        <v>100</v>
      </c>
      <c r="F28" s="16">
        <v>6.62</v>
      </c>
      <c r="G28" s="16">
        <v>3.14</v>
      </c>
      <c r="H28" s="16">
        <v>53.67</v>
      </c>
      <c r="I28" s="16">
        <v>50.05</v>
      </c>
      <c r="J28" s="16">
        <v>59.17</v>
      </c>
      <c r="K28" s="27">
        <v>46.91</v>
      </c>
      <c r="L28" s="16">
        <v>77.19</v>
      </c>
      <c r="M28" s="16">
        <v>68.760000000000005</v>
      </c>
      <c r="N28" s="16">
        <v>82.01</v>
      </c>
      <c r="O28" s="11">
        <v>17.010000000000002</v>
      </c>
      <c r="P28" s="11">
        <v>58.98</v>
      </c>
      <c r="Q28" s="11">
        <v>24.36</v>
      </c>
      <c r="S28" s="11">
        <v>83.03</v>
      </c>
      <c r="T28" s="11">
        <v>24.91</v>
      </c>
      <c r="U28" s="11">
        <v>69.66</v>
      </c>
      <c r="V28" s="11">
        <v>97.77</v>
      </c>
      <c r="W28" s="11">
        <v>100</v>
      </c>
      <c r="X28" s="11">
        <v>31.22</v>
      </c>
      <c r="Y28" s="11">
        <v>48.09</v>
      </c>
      <c r="Z28" s="11">
        <v>80.81</v>
      </c>
      <c r="AA28" s="11">
        <v>52.71</v>
      </c>
      <c r="AB28" s="16">
        <v>58.44</v>
      </c>
      <c r="AC28" s="11">
        <v>68.36</v>
      </c>
      <c r="AD28" s="11">
        <v>12.84</v>
      </c>
      <c r="AF28" s="16">
        <v>71.459999999999994</v>
      </c>
      <c r="AG28" s="11">
        <v>51.46</v>
      </c>
      <c r="AH28" s="16">
        <v>41.18</v>
      </c>
      <c r="AI28" s="11">
        <v>33.35</v>
      </c>
      <c r="AJ28" s="11">
        <v>51.28</v>
      </c>
      <c r="AK28" s="11">
        <v>32.46</v>
      </c>
      <c r="AL28" s="11">
        <v>40.619999999999997</v>
      </c>
      <c r="AM28" s="11">
        <v>61.63</v>
      </c>
      <c r="AN28" s="11">
        <v>73.83</v>
      </c>
      <c r="AO28" s="11">
        <v>57.81</v>
      </c>
      <c r="AQ28" s="11">
        <v>64.94</v>
      </c>
      <c r="AS28" s="11">
        <v>30.12</v>
      </c>
      <c r="AT28" s="11">
        <v>16.260000000000002</v>
      </c>
      <c r="AU28" s="11">
        <v>20.13</v>
      </c>
      <c r="AV28" s="11">
        <v>83.38</v>
      </c>
      <c r="AZ28" s="11">
        <v>66.92</v>
      </c>
      <c r="BA28" s="11">
        <v>63.78</v>
      </c>
      <c r="BB28" s="11">
        <v>77.650000000000006</v>
      </c>
      <c r="BC28" s="11">
        <v>55.43</v>
      </c>
      <c r="BD28" s="11">
        <v>48.5</v>
      </c>
      <c r="BE28" s="35">
        <v>49.31</v>
      </c>
      <c r="BF28" s="11">
        <v>57.48</v>
      </c>
      <c r="BG28" s="11">
        <v>1.2</v>
      </c>
      <c r="BH28" s="11">
        <v>97.39</v>
      </c>
      <c r="BI28" s="11">
        <v>61.3</v>
      </c>
      <c r="BJ28" s="11">
        <v>32.549999999999997</v>
      </c>
      <c r="BK28" s="16">
        <v>39.75</v>
      </c>
      <c r="BL28" s="16">
        <v>80.39</v>
      </c>
      <c r="BM28" s="11">
        <v>73.41</v>
      </c>
      <c r="BN28" s="11">
        <v>56.26</v>
      </c>
      <c r="BO28" s="11">
        <v>25.45</v>
      </c>
      <c r="BP28" s="11">
        <v>41.39</v>
      </c>
      <c r="BQ28" s="11">
        <v>78.02</v>
      </c>
      <c r="BR28" s="11">
        <v>57.43</v>
      </c>
      <c r="BS28" s="11">
        <v>79.69</v>
      </c>
      <c r="BU28" s="11">
        <v>82.35</v>
      </c>
      <c r="BV28" s="11">
        <v>37.61</v>
      </c>
      <c r="BW28" s="11">
        <v>66.38</v>
      </c>
      <c r="BX28" s="11">
        <v>48.75</v>
      </c>
      <c r="BY28" s="11">
        <v>48.78</v>
      </c>
      <c r="BZ28" s="11">
        <v>54.27</v>
      </c>
      <c r="CA28" s="11">
        <v>57.45</v>
      </c>
      <c r="CD28" s="11">
        <v>78.05</v>
      </c>
      <c r="CE28" s="11">
        <v>47.66</v>
      </c>
      <c r="CF28" s="11">
        <v>59.67</v>
      </c>
      <c r="CI28" s="11">
        <v>70.05</v>
      </c>
      <c r="CK28" s="11">
        <v>36.31</v>
      </c>
      <c r="CL28" s="11">
        <v>36.99</v>
      </c>
      <c r="CN28" s="11">
        <v>64.34</v>
      </c>
      <c r="CO28" s="11">
        <v>59.41</v>
      </c>
      <c r="CP28" s="11">
        <v>28.77</v>
      </c>
      <c r="CQ28" s="11">
        <v>30.57</v>
      </c>
      <c r="CR28" s="11">
        <v>86.99</v>
      </c>
      <c r="CS28" s="11">
        <v>19.690000000000001</v>
      </c>
      <c r="CT28" s="11">
        <v>31.91</v>
      </c>
      <c r="CU28" s="11">
        <v>44.14</v>
      </c>
      <c r="CW28" s="11">
        <v>69.819999999999993</v>
      </c>
      <c r="CX28" s="11">
        <v>59.59</v>
      </c>
      <c r="CY28" s="11">
        <v>68.33</v>
      </c>
      <c r="CZ28" s="11">
        <v>78.72</v>
      </c>
      <c r="DA28" s="11">
        <v>38.26</v>
      </c>
      <c r="DB28" s="11">
        <v>8.25</v>
      </c>
      <c r="DC28" s="11">
        <v>21.26</v>
      </c>
      <c r="DD28" s="11">
        <v>74.16</v>
      </c>
      <c r="DF28" s="11">
        <v>23.74</v>
      </c>
      <c r="DG28" s="11">
        <v>50.36</v>
      </c>
      <c r="DH28" s="11">
        <v>74.81</v>
      </c>
      <c r="DI28" s="11">
        <v>60.36</v>
      </c>
      <c r="DJ28" s="11">
        <v>82.21</v>
      </c>
      <c r="DM28" s="11">
        <v>89.14</v>
      </c>
      <c r="DN28" s="11">
        <v>65.05</v>
      </c>
      <c r="DO28" s="11">
        <v>35.950000000000003</v>
      </c>
      <c r="DP28" s="11">
        <v>56.14</v>
      </c>
      <c r="DQ28" s="11">
        <v>33.46</v>
      </c>
      <c r="DT28" s="11">
        <v>31.85</v>
      </c>
      <c r="DU28" s="11">
        <v>27.42</v>
      </c>
      <c r="DV28" s="11">
        <v>36.94</v>
      </c>
      <c r="DW28" s="11">
        <v>55.91</v>
      </c>
      <c r="DX28" s="11">
        <v>72</v>
      </c>
      <c r="EA28" s="11">
        <v>82.86</v>
      </c>
      <c r="EB28" s="11">
        <v>65.38</v>
      </c>
      <c r="EC28" s="11">
        <v>27.72</v>
      </c>
      <c r="EF28" s="11">
        <v>60.15</v>
      </c>
      <c r="EH28" s="11">
        <v>59.57</v>
      </c>
      <c r="EI28" s="11">
        <v>41.38</v>
      </c>
      <c r="EJ28" s="11">
        <v>31.82</v>
      </c>
      <c r="EL28" s="11">
        <v>47.41</v>
      </c>
      <c r="EM28" s="11">
        <v>37.200000000000003</v>
      </c>
      <c r="EN28" s="11">
        <v>3.44</v>
      </c>
      <c r="EO28" s="11">
        <v>31.82</v>
      </c>
      <c r="EQ28" s="11">
        <v>52.72</v>
      </c>
      <c r="EZ28" s="11">
        <v>49.59</v>
      </c>
      <c r="FA28" s="16">
        <v>47.6</v>
      </c>
      <c r="FB28" s="11">
        <v>38.72</v>
      </c>
      <c r="FC28" s="11">
        <v>44</v>
      </c>
      <c r="FD28" s="11">
        <v>100</v>
      </c>
      <c r="FE28" s="11">
        <v>55.02</v>
      </c>
      <c r="FG28" s="11">
        <v>27.93</v>
      </c>
      <c r="FH28" s="11">
        <v>16.850000000000001</v>
      </c>
      <c r="FI28" s="11">
        <v>31.17</v>
      </c>
      <c r="FJ28" s="11">
        <v>54.06</v>
      </c>
      <c r="FK28" s="11">
        <v>10.08</v>
      </c>
      <c r="FL28" s="11">
        <v>54.29</v>
      </c>
      <c r="FM28" s="11">
        <v>51.38</v>
      </c>
      <c r="FN28" s="11">
        <v>35.26</v>
      </c>
      <c r="FO28" s="16">
        <v>64.33</v>
      </c>
      <c r="FP28" s="11">
        <v>73.150000000000006</v>
      </c>
      <c r="FQ28" s="11">
        <v>44.96</v>
      </c>
      <c r="FR28" s="11">
        <v>51.43</v>
      </c>
      <c r="FS28" s="11">
        <v>35.979999999999997</v>
      </c>
      <c r="FT28" s="11">
        <v>61.22</v>
      </c>
      <c r="FU28" s="11">
        <v>35.729999999999997</v>
      </c>
      <c r="FV28" s="11">
        <v>79.959999999999994</v>
      </c>
      <c r="FW28" s="11">
        <v>40.619999999999997</v>
      </c>
      <c r="FX28" s="11">
        <v>29.97</v>
      </c>
      <c r="FY28" s="11">
        <v>59.54</v>
      </c>
      <c r="FZ28" s="11">
        <v>36.31</v>
      </c>
      <c r="GA28" s="11">
        <v>91.21</v>
      </c>
      <c r="GB28" s="11">
        <v>77.5</v>
      </c>
      <c r="GC28" s="11">
        <v>74.17</v>
      </c>
      <c r="GD28" s="16">
        <v>64.349999999999994</v>
      </c>
      <c r="GE28" s="11">
        <v>65.98</v>
      </c>
      <c r="GF28" s="11">
        <v>75.41</v>
      </c>
      <c r="GG28" s="11">
        <v>66.790000000000006</v>
      </c>
      <c r="GH28" s="11">
        <v>33.28</v>
      </c>
      <c r="GI28" s="11">
        <v>75.2</v>
      </c>
      <c r="GJ28" s="16">
        <v>70.239999999999995</v>
      </c>
      <c r="GK28" s="11">
        <v>60.34</v>
      </c>
      <c r="GL28" s="11">
        <v>50.28</v>
      </c>
      <c r="GM28" s="11">
        <v>75.58</v>
      </c>
      <c r="GN28" s="11">
        <v>10.79</v>
      </c>
      <c r="GO28" s="11">
        <v>76.989999999999995</v>
      </c>
      <c r="GP28" s="11">
        <v>37.19</v>
      </c>
      <c r="GQ28" s="11">
        <v>84.25</v>
      </c>
      <c r="GR28" s="11">
        <v>64.8</v>
      </c>
      <c r="GS28" s="11">
        <v>83.45</v>
      </c>
      <c r="HB28" s="11">
        <v>41.57</v>
      </c>
      <c r="HC28" s="11">
        <v>59.65</v>
      </c>
      <c r="HD28" s="11">
        <v>36.32</v>
      </c>
      <c r="HE28" s="11">
        <v>48.83</v>
      </c>
      <c r="HF28" s="11">
        <v>35.97</v>
      </c>
      <c r="HG28" s="11">
        <v>6.34</v>
      </c>
      <c r="HH28" s="11">
        <v>44.42</v>
      </c>
      <c r="HI28" s="11">
        <v>49.8</v>
      </c>
      <c r="HK28" s="11">
        <v>12.01</v>
      </c>
      <c r="HL28" s="11">
        <v>42.13</v>
      </c>
      <c r="HM28" s="11">
        <v>36.36</v>
      </c>
      <c r="HN28" s="11">
        <v>37.35</v>
      </c>
      <c r="HO28" s="11">
        <v>46.73</v>
      </c>
      <c r="HP28" s="11">
        <v>51.02</v>
      </c>
      <c r="HQ28" s="11">
        <v>44.39</v>
      </c>
      <c r="HR28" s="11">
        <v>8.5399999999999991</v>
      </c>
      <c r="HS28" s="11">
        <v>10.210000000000001</v>
      </c>
      <c r="HT28" s="11">
        <v>61.86</v>
      </c>
      <c r="HU28" s="11">
        <v>58.7</v>
      </c>
      <c r="HV28" s="11">
        <v>97.5</v>
      </c>
      <c r="HW28" s="11">
        <v>74.069999999999993</v>
      </c>
      <c r="HX28" s="11">
        <v>52.6</v>
      </c>
      <c r="HY28" s="11">
        <v>61.45</v>
      </c>
    </row>
    <row r="29" spans="1:233" x14ac:dyDescent="0.5">
      <c r="A29" s="13" t="s">
        <v>24</v>
      </c>
      <c r="B29" s="4">
        <v>-40.450000000000003</v>
      </c>
      <c r="C29" s="16">
        <v>86.95</v>
      </c>
      <c r="D29" s="16">
        <v>5.96</v>
      </c>
      <c r="E29" s="16">
        <v>-79.27</v>
      </c>
      <c r="F29" s="16">
        <v>-34.51</v>
      </c>
      <c r="G29" s="16">
        <v>-26.42</v>
      </c>
      <c r="H29" s="16">
        <v>4.6900000000000004</v>
      </c>
      <c r="I29" s="16">
        <v>24.33</v>
      </c>
      <c r="J29" s="16">
        <v>35.450000000000003</v>
      </c>
      <c r="K29" s="27">
        <v>171.42</v>
      </c>
      <c r="L29" s="16">
        <v>27.08</v>
      </c>
      <c r="M29" s="16">
        <v>32.24</v>
      </c>
      <c r="N29" s="16">
        <v>32.64</v>
      </c>
      <c r="O29" s="11">
        <v>6.79</v>
      </c>
      <c r="P29" s="11">
        <v>34.659999999999997</v>
      </c>
      <c r="Q29" s="11">
        <v>10.17</v>
      </c>
      <c r="R29" s="11">
        <v>16.440000000000001</v>
      </c>
      <c r="S29" s="11">
        <v>96.47</v>
      </c>
      <c r="T29" s="11">
        <v>23.38</v>
      </c>
      <c r="U29" s="11">
        <v>69.239999999999995</v>
      </c>
      <c r="V29" s="11">
        <v>52.07</v>
      </c>
      <c r="W29" s="11">
        <v>184.86</v>
      </c>
      <c r="X29" s="11">
        <v>11.42</v>
      </c>
      <c r="Y29" s="11">
        <v>42.86</v>
      </c>
      <c r="Z29" s="11">
        <v>19.5</v>
      </c>
      <c r="AA29" s="11">
        <v>53.85</v>
      </c>
      <c r="AB29" s="16">
        <v>36.72</v>
      </c>
      <c r="AC29" s="11">
        <v>33.619999999999997</v>
      </c>
      <c r="AD29" s="11">
        <v>30.69</v>
      </c>
      <c r="AE29" s="11">
        <v>9.8699999999999992</v>
      </c>
      <c r="AF29" s="16">
        <v>137.96</v>
      </c>
      <c r="AG29" s="11">
        <v>5.32</v>
      </c>
      <c r="AH29" s="16">
        <v>13.45</v>
      </c>
      <c r="AI29" s="11">
        <v>193.95</v>
      </c>
      <c r="AJ29" s="11">
        <v>31.9</v>
      </c>
      <c r="AK29" s="11">
        <v>42.13</v>
      </c>
      <c r="AM29" s="11">
        <v>42.44</v>
      </c>
      <c r="AN29" s="11">
        <v>17.03</v>
      </c>
      <c r="AO29" s="11">
        <v>30.16</v>
      </c>
      <c r="AP29" s="11">
        <v>17.48</v>
      </c>
      <c r="AQ29" s="11">
        <v>22.06</v>
      </c>
      <c r="AR29" s="11">
        <v>11.52</v>
      </c>
      <c r="AS29" s="11">
        <v>46.28</v>
      </c>
      <c r="AT29" s="11">
        <v>12.94</v>
      </c>
      <c r="AU29" s="11">
        <v>10.7</v>
      </c>
      <c r="AV29" s="11">
        <v>21.67</v>
      </c>
      <c r="AX29" s="11">
        <v>33.93</v>
      </c>
      <c r="AY29" s="11">
        <v>13.53</v>
      </c>
      <c r="BA29" s="11">
        <v>19.03</v>
      </c>
      <c r="BB29" s="11">
        <v>11.2</v>
      </c>
      <c r="BC29" s="11">
        <v>23.34</v>
      </c>
      <c r="BD29" s="11">
        <v>35.630000000000003</v>
      </c>
      <c r="BE29" s="35">
        <v>62.26</v>
      </c>
      <c r="BF29" s="11">
        <v>29.76</v>
      </c>
      <c r="BH29" s="11">
        <v>12.37</v>
      </c>
      <c r="BI29" s="11">
        <v>99.17</v>
      </c>
      <c r="BJ29" s="11">
        <v>0.19</v>
      </c>
      <c r="BK29" s="16">
        <v>39.93</v>
      </c>
      <c r="BL29" s="16">
        <v>20.29</v>
      </c>
      <c r="BM29" s="11">
        <v>17.45</v>
      </c>
      <c r="BN29" s="11">
        <v>30.62</v>
      </c>
      <c r="BO29" s="11">
        <v>8.15</v>
      </c>
      <c r="BP29" s="11">
        <v>13.12</v>
      </c>
      <c r="BS29" s="11">
        <v>241.89</v>
      </c>
      <c r="BT29" s="11">
        <v>14.73</v>
      </c>
      <c r="BU29" s="11">
        <v>71.47</v>
      </c>
      <c r="BV29" s="11">
        <v>11.46</v>
      </c>
      <c r="BW29" s="11">
        <v>16.899999999999999</v>
      </c>
      <c r="BX29" s="11">
        <v>15.74</v>
      </c>
      <c r="BY29" s="11">
        <v>17.98</v>
      </c>
      <c r="BZ29" s="11">
        <v>37.159999999999997</v>
      </c>
      <c r="CA29" s="11">
        <v>31.8</v>
      </c>
      <c r="CB29" s="11">
        <v>7</v>
      </c>
      <c r="CC29" s="11">
        <v>26.46</v>
      </c>
      <c r="CD29" s="11">
        <v>16.809999999999999</v>
      </c>
      <c r="CF29" s="11">
        <v>19.14</v>
      </c>
      <c r="CG29" s="11">
        <v>8.24</v>
      </c>
      <c r="CI29" s="11">
        <v>81.709999999999994</v>
      </c>
      <c r="CJ29" s="11">
        <v>5.94</v>
      </c>
      <c r="CK29" s="11">
        <v>34.81</v>
      </c>
      <c r="CM29" s="11">
        <v>10.84</v>
      </c>
      <c r="CN29" s="11">
        <v>31.74</v>
      </c>
      <c r="CO29" s="11">
        <v>19.88</v>
      </c>
      <c r="CP29" s="11">
        <v>14.44</v>
      </c>
      <c r="CQ29" s="11">
        <v>59.76</v>
      </c>
      <c r="CS29" s="11">
        <v>16.72</v>
      </c>
      <c r="CT29" s="11">
        <v>25.51</v>
      </c>
      <c r="CU29" s="11">
        <v>28.7</v>
      </c>
      <c r="CV29" s="11">
        <v>13.72</v>
      </c>
      <c r="CW29" s="11">
        <v>11.99</v>
      </c>
      <c r="CX29" s="11">
        <v>6.84</v>
      </c>
      <c r="CY29" s="11">
        <v>12.49</v>
      </c>
      <c r="CZ29" s="11">
        <v>40.71</v>
      </c>
      <c r="DA29" s="11">
        <v>20.65</v>
      </c>
      <c r="DB29" s="11">
        <v>62.78</v>
      </c>
      <c r="DD29" s="11">
        <v>-8.92</v>
      </c>
      <c r="DE29" s="11">
        <v>27.82</v>
      </c>
      <c r="DG29" s="11">
        <v>40.65</v>
      </c>
      <c r="DH29" s="11">
        <v>10.6</v>
      </c>
      <c r="DI29" s="11">
        <v>10.029999999999999</v>
      </c>
      <c r="DJ29" s="11">
        <v>21.99</v>
      </c>
      <c r="DK29" s="11">
        <v>1.62</v>
      </c>
      <c r="DL29" s="11">
        <v>17.63</v>
      </c>
      <c r="DM29" s="11">
        <v>52.88</v>
      </c>
      <c r="DN29" s="11">
        <v>14.04</v>
      </c>
      <c r="DO29" s="11">
        <v>12.23</v>
      </c>
      <c r="DP29" s="11">
        <v>41.62</v>
      </c>
      <c r="DR29" s="11">
        <v>2.75</v>
      </c>
      <c r="DS29" s="11">
        <v>34.22</v>
      </c>
      <c r="DT29" s="11">
        <v>22.64</v>
      </c>
      <c r="DU29" s="11">
        <v>21.4</v>
      </c>
      <c r="DV29" s="11">
        <v>34.619999999999997</v>
      </c>
      <c r="DX29" s="11">
        <v>8.83</v>
      </c>
      <c r="DY29" s="11">
        <v>8.2899999999999991</v>
      </c>
      <c r="DZ29" s="11">
        <v>5.96</v>
      </c>
      <c r="EA29" s="11">
        <v>6.27</v>
      </c>
      <c r="EB29" s="11">
        <v>9.74</v>
      </c>
      <c r="EC29" s="11">
        <v>17.16</v>
      </c>
      <c r="ED29" s="11">
        <v>18.63</v>
      </c>
      <c r="EE29" s="11">
        <v>13.64</v>
      </c>
      <c r="EF29" s="11">
        <v>5.65</v>
      </c>
      <c r="EG29" s="11">
        <v>19.84</v>
      </c>
      <c r="EH29" s="11">
        <v>39.299999999999997</v>
      </c>
      <c r="EJ29" s="11">
        <v>1.75</v>
      </c>
      <c r="EL29" s="11">
        <v>15.42</v>
      </c>
      <c r="EM29" s="11">
        <v>27.29</v>
      </c>
      <c r="EO29" s="11">
        <v>1.75</v>
      </c>
      <c r="EQ29" s="11">
        <v>22.31</v>
      </c>
      <c r="EZ29" s="11">
        <v>-0.75</v>
      </c>
      <c r="FA29" s="16">
        <v>29.16</v>
      </c>
      <c r="FB29" s="11">
        <v>14.54</v>
      </c>
      <c r="FC29" s="11">
        <v>12.15</v>
      </c>
      <c r="FD29" s="11">
        <v>4.03</v>
      </c>
      <c r="FE29" s="11">
        <v>25.73</v>
      </c>
      <c r="FF29" s="11">
        <v>8.59</v>
      </c>
      <c r="FG29" s="11">
        <v>-16.18</v>
      </c>
      <c r="FH29" s="11">
        <v>10.86</v>
      </c>
      <c r="FI29" s="11">
        <v>2.93</v>
      </c>
      <c r="FJ29" s="11">
        <v>-2.85</v>
      </c>
      <c r="FK29" s="11">
        <v>12.79</v>
      </c>
      <c r="FL29" s="11">
        <v>-22.38</v>
      </c>
      <c r="FM29" s="11">
        <v>3.06</v>
      </c>
      <c r="FN29" s="11">
        <v>24.52</v>
      </c>
      <c r="FO29" s="16">
        <v>21.03</v>
      </c>
      <c r="FP29" s="11">
        <v>33.78</v>
      </c>
      <c r="FQ29" s="11">
        <v>14.52</v>
      </c>
      <c r="FR29" s="11">
        <v>10.039999999999999</v>
      </c>
      <c r="FS29" s="11">
        <v>12.74</v>
      </c>
      <c r="FT29" s="11">
        <v>16.899999999999999</v>
      </c>
      <c r="FU29" s="11">
        <v>38.86</v>
      </c>
      <c r="FV29" s="11">
        <v>3.52</v>
      </c>
      <c r="FW29" s="11">
        <v>29.71</v>
      </c>
      <c r="FX29" s="11">
        <v>8.23</v>
      </c>
      <c r="FY29" s="11">
        <v>-86.61</v>
      </c>
      <c r="FZ29" s="11">
        <v>8.1</v>
      </c>
      <c r="GA29" s="11">
        <v>15.22</v>
      </c>
      <c r="GB29" s="11">
        <v>8.49</v>
      </c>
      <c r="GC29" s="11">
        <v>-20.73</v>
      </c>
      <c r="GD29" s="16">
        <v>24.81</v>
      </c>
      <c r="GE29" s="11">
        <v>18.75</v>
      </c>
      <c r="GF29" s="11">
        <v>18.399999999999999</v>
      </c>
      <c r="GG29" s="11">
        <v>-42.4</v>
      </c>
      <c r="GH29" s="11">
        <v>30.06</v>
      </c>
      <c r="GI29" s="11">
        <v>-8.8800000000000008</v>
      </c>
      <c r="GJ29" s="16">
        <v>15.67</v>
      </c>
      <c r="GK29" s="11">
        <v>15.72</v>
      </c>
      <c r="GL29" s="11">
        <v>46.68</v>
      </c>
      <c r="GM29" s="11">
        <v>6.66</v>
      </c>
      <c r="GN29" s="11">
        <v>5.62</v>
      </c>
      <c r="GO29" s="11">
        <v>-2.7</v>
      </c>
      <c r="GP29" s="11">
        <v>17.09</v>
      </c>
      <c r="GQ29" s="11">
        <v>13.05</v>
      </c>
      <c r="GR29" s="11">
        <v>0.47</v>
      </c>
      <c r="GS29" s="11">
        <v>-15.35</v>
      </c>
      <c r="HB29" s="11">
        <v>4.96</v>
      </c>
      <c r="HC29" s="11">
        <v>35.700000000000003</v>
      </c>
      <c r="HD29" s="11">
        <v>41.81</v>
      </c>
      <c r="HE29" s="11">
        <v>17.440000000000001</v>
      </c>
      <c r="HF29" s="11">
        <v>14.9</v>
      </c>
      <c r="HG29" s="11">
        <v>-13.82</v>
      </c>
      <c r="HH29" s="11">
        <v>6.16</v>
      </c>
      <c r="HI29" s="11">
        <v>65.56</v>
      </c>
      <c r="HK29" s="11">
        <v>18.72</v>
      </c>
      <c r="HL29" s="11">
        <v>8.3000000000000007</v>
      </c>
      <c r="HM29" s="11">
        <v>15.94</v>
      </c>
      <c r="HN29" s="11">
        <v>32.64</v>
      </c>
      <c r="HO29" s="11">
        <v>11.7</v>
      </c>
      <c r="HP29" s="11">
        <v>18.829999999999998</v>
      </c>
      <c r="HQ29" s="11">
        <v>5.23</v>
      </c>
      <c r="HR29" s="11">
        <v>10.41</v>
      </c>
      <c r="HS29" s="11">
        <v>3.12</v>
      </c>
      <c r="HT29" s="11">
        <v>16.23</v>
      </c>
      <c r="HU29" s="11">
        <v>29.4</v>
      </c>
      <c r="HV29" s="11">
        <v>11.27</v>
      </c>
      <c r="HW29" s="11">
        <v>86.95</v>
      </c>
      <c r="HX29" s="11">
        <v>43.2</v>
      </c>
      <c r="HY29" s="11">
        <v>82.69</v>
      </c>
    </row>
    <row r="30" spans="1:233" x14ac:dyDescent="0.5">
      <c r="A30" s="18" t="s">
        <v>25</v>
      </c>
      <c r="B30" s="3">
        <v>0.72</v>
      </c>
      <c r="C30" s="16">
        <v>7.0000000000000007E-2</v>
      </c>
      <c r="D30" s="16">
        <v>0.53</v>
      </c>
      <c r="E30" s="16">
        <v>0.44</v>
      </c>
      <c r="F30" s="16">
        <v>0.22</v>
      </c>
      <c r="G30" s="16">
        <v>0.01</v>
      </c>
      <c r="H30" s="16">
        <v>0.32</v>
      </c>
      <c r="I30" s="16">
        <v>0.43</v>
      </c>
      <c r="J30" s="16">
        <v>0.11</v>
      </c>
      <c r="K30" s="27">
        <v>1.52</v>
      </c>
      <c r="L30" s="16">
        <v>0.88</v>
      </c>
      <c r="M30" s="16">
        <v>0.33</v>
      </c>
      <c r="N30" s="16">
        <v>0.26</v>
      </c>
      <c r="O30" s="11">
        <v>0.17</v>
      </c>
      <c r="P30" s="11">
        <v>0.19</v>
      </c>
      <c r="Q30" s="11">
        <v>0.18</v>
      </c>
      <c r="R30" s="11">
        <v>3.16</v>
      </c>
      <c r="S30" s="11">
        <v>1.79</v>
      </c>
      <c r="T30" s="11">
        <v>0.69</v>
      </c>
      <c r="U30" s="11">
        <v>4.53</v>
      </c>
      <c r="V30" s="11">
        <v>0.66</v>
      </c>
      <c r="W30" s="11">
        <v>2.4</v>
      </c>
      <c r="X30" s="11">
        <v>0.16</v>
      </c>
      <c r="Y30" s="11">
        <v>0.66</v>
      </c>
      <c r="Z30" s="11" t="s">
        <v>60</v>
      </c>
      <c r="AA30" s="11">
        <v>0.14000000000000001</v>
      </c>
      <c r="AB30" s="16">
        <v>0.15</v>
      </c>
      <c r="AC30" s="11">
        <v>0.57999999999999996</v>
      </c>
      <c r="AD30" s="11">
        <v>0.34</v>
      </c>
      <c r="AE30" s="11">
        <v>2.5099999999999998</v>
      </c>
      <c r="AF30" s="16">
        <v>-26.49</v>
      </c>
      <c r="AG30" s="11">
        <v>0.06</v>
      </c>
      <c r="AH30" s="16">
        <v>0.23</v>
      </c>
      <c r="AI30" s="11">
        <v>5.81</v>
      </c>
      <c r="AJ30" s="11">
        <v>0.67</v>
      </c>
      <c r="AK30" s="11">
        <v>1.1499999999999999</v>
      </c>
      <c r="AL30" s="11">
        <v>0.2</v>
      </c>
      <c r="AM30" s="11">
        <v>1.45</v>
      </c>
      <c r="AN30" s="11">
        <v>0.21</v>
      </c>
      <c r="AO30" s="11">
        <v>2.38</v>
      </c>
      <c r="AP30" s="11">
        <v>0.76</v>
      </c>
      <c r="AQ30" s="11">
        <v>0.63</v>
      </c>
      <c r="AR30" s="11">
        <v>2.3199999999999998</v>
      </c>
      <c r="AS30" s="11">
        <v>2.0099999999999998</v>
      </c>
      <c r="AT30" s="11">
        <v>1.04</v>
      </c>
      <c r="AU30" s="11">
        <v>0.61</v>
      </c>
      <c r="AV30" s="11">
        <v>0.71</v>
      </c>
      <c r="AW30" s="11">
        <v>4.3899999999999997</v>
      </c>
      <c r="AX30" s="11">
        <v>1.85</v>
      </c>
      <c r="AY30" s="11">
        <v>5.86</v>
      </c>
      <c r="AZ30" s="11">
        <v>-5.58</v>
      </c>
      <c r="BA30" s="11">
        <v>2.0099999999999998</v>
      </c>
      <c r="BB30" s="11">
        <v>0.19</v>
      </c>
      <c r="BC30" s="11">
        <v>0.74</v>
      </c>
      <c r="BD30" s="11">
        <v>0.35</v>
      </c>
      <c r="BE30" s="35">
        <v>0.44</v>
      </c>
      <c r="BF30" s="11">
        <v>0.85</v>
      </c>
      <c r="BG30" s="11">
        <v>-6.75</v>
      </c>
      <c r="BH30" s="11">
        <v>0.06</v>
      </c>
      <c r="BI30" s="11">
        <v>1.22</v>
      </c>
      <c r="BJ30" s="11">
        <v>0.4</v>
      </c>
      <c r="BK30" s="16">
        <v>0.42</v>
      </c>
      <c r="BL30" s="16">
        <v>0.34</v>
      </c>
      <c r="BM30" s="11">
        <v>0.05</v>
      </c>
      <c r="BN30" s="11">
        <v>0.25</v>
      </c>
      <c r="BO30" s="11">
        <v>0.42</v>
      </c>
      <c r="BP30" s="11">
        <v>0.7</v>
      </c>
      <c r="BQ30" s="11">
        <v>0.72</v>
      </c>
      <c r="BR30" s="11">
        <v>-25.81</v>
      </c>
      <c r="BS30" s="11">
        <v>2.38</v>
      </c>
      <c r="BT30" s="11">
        <v>3.24</v>
      </c>
      <c r="BU30" s="11">
        <v>0.6</v>
      </c>
      <c r="BV30" s="11">
        <v>0.37</v>
      </c>
      <c r="BX30" s="11">
        <v>0.09</v>
      </c>
      <c r="BY30" s="11">
        <v>0.65</v>
      </c>
      <c r="BZ30" s="11">
        <v>2.6</v>
      </c>
      <c r="CA30" s="11">
        <v>0.03</v>
      </c>
      <c r="CB30" s="11">
        <v>3.37</v>
      </c>
      <c r="CC30" s="11">
        <v>0.6</v>
      </c>
      <c r="CD30" s="11">
        <v>0.21</v>
      </c>
      <c r="CE30" s="11">
        <v>0.28000000000000003</v>
      </c>
      <c r="CF30" s="11">
        <v>1.24</v>
      </c>
      <c r="CG30" s="11">
        <v>1.44</v>
      </c>
      <c r="CH30" s="11">
        <v>1.1200000000000001</v>
      </c>
      <c r="CI30" s="11">
        <v>5.68</v>
      </c>
      <c r="CJ30" s="11">
        <v>4.9800000000000004</v>
      </c>
      <c r="CK30" s="11">
        <v>0.64</v>
      </c>
      <c r="CL30" s="11">
        <v>-79.27</v>
      </c>
      <c r="CM30" s="11">
        <v>1.06</v>
      </c>
      <c r="CO30" s="11">
        <v>1.65</v>
      </c>
      <c r="CP30" s="11">
        <v>0.19</v>
      </c>
      <c r="CQ30" s="11">
        <v>1.48</v>
      </c>
      <c r="CR30" s="11">
        <v>-3.75</v>
      </c>
      <c r="CS30" s="11">
        <v>0.11</v>
      </c>
      <c r="CT30" s="11">
        <v>0.25</v>
      </c>
      <c r="CU30" s="11">
        <v>1.61</v>
      </c>
      <c r="CV30" s="11">
        <v>3.39</v>
      </c>
      <c r="CW30" s="11">
        <v>0.32</v>
      </c>
      <c r="CX30" s="11">
        <v>0.36</v>
      </c>
      <c r="CY30" s="11">
        <v>0.51</v>
      </c>
      <c r="CZ30" s="11">
        <v>1.1599999999999999</v>
      </c>
      <c r="DA30" s="11">
        <v>0.6</v>
      </c>
      <c r="DB30" s="11">
        <v>3.59</v>
      </c>
      <c r="DC30" s="11">
        <v>-10.67</v>
      </c>
      <c r="DD30" s="11">
        <v>0.21</v>
      </c>
      <c r="DE30" s="11">
        <v>1.89</v>
      </c>
      <c r="DF30" s="11">
        <v>-3.63</v>
      </c>
      <c r="DG30" s="11">
        <v>1.59</v>
      </c>
      <c r="DH30" s="11">
        <v>0.67</v>
      </c>
      <c r="DI30" s="11">
        <v>0.69</v>
      </c>
      <c r="DJ30" s="11">
        <v>0.49</v>
      </c>
      <c r="DK30" s="11">
        <v>0.48</v>
      </c>
      <c r="DL30" s="11">
        <v>3.96</v>
      </c>
      <c r="DM30" s="11">
        <v>0.56000000000000005</v>
      </c>
      <c r="DN30" s="11">
        <v>0.79</v>
      </c>
      <c r="DO30" s="11">
        <v>0.54</v>
      </c>
      <c r="DP30" s="11">
        <v>1.9</v>
      </c>
      <c r="DQ30" s="11">
        <v>-3.43</v>
      </c>
      <c r="DR30" s="11">
        <v>0.46</v>
      </c>
      <c r="DS30" s="11">
        <v>0.2</v>
      </c>
      <c r="DT30" s="11">
        <v>0.28999999999999998</v>
      </c>
      <c r="DU30" s="11">
        <v>2.67</v>
      </c>
      <c r="DV30" s="11">
        <v>2.15</v>
      </c>
      <c r="DW30" s="11">
        <v>0.83</v>
      </c>
      <c r="DX30" s="11">
        <v>0.3</v>
      </c>
      <c r="DY30" s="11">
        <v>6.13</v>
      </c>
      <c r="DZ30" s="11">
        <v>0.63</v>
      </c>
      <c r="EA30" s="11">
        <v>0.75</v>
      </c>
      <c r="EB30" s="11">
        <v>0.59</v>
      </c>
      <c r="EC30" s="11">
        <v>0.38</v>
      </c>
      <c r="ED30" s="11">
        <v>2.3199999999999998</v>
      </c>
      <c r="EE30" s="11">
        <v>0.31</v>
      </c>
      <c r="EF30" s="11">
        <v>0.26</v>
      </c>
      <c r="EG30" s="11">
        <v>0.62</v>
      </c>
      <c r="EH30" s="11">
        <v>0.71</v>
      </c>
      <c r="EI30" s="11">
        <v>-21.47</v>
      </c>
      <c r="EJ30" s="11">
        <v>1.57</v>
      </c>
      <c r="EK30" s="11">
        <v>0.77</v>
      </c>
      <c r="EL30" s="11">
        <v>0.36</v>
      </c>
      <c r="EM30" s="11">
        <v>0.75</v>
      </c>
      <c r="EN30" s="11">
        <v>-17.22</v>
      </c>
      <c r="EO30" s="11">
        <v>1.57</v>
      </c>
      <c r="EQ30" s="11">
        <v>0.11</v>
      </c>
      <c r="EZ30" s="11">
        <v>0.36</v>
      </c>
      <c r="FA30" s="16">
        <v>0</v>
      </c>
      <c r="FB30" s="11">
        <v>0.31</v>
      </c>
      <c r="FC30" s="11">
        <v>0.14000000000000001</v>
      </c>
      <c r="FD30" s="11">
        <v>2.5099999999999998</v>
      </c>
      <c r="FE30" s="11">
        <v>2.34</v>
      </c>
      <c r="FF30" s="11">
        <v>0.32</v>
      </c>
      <c r="FG30" s="11">
        <v>0.14000000000000001</v>
      </c>
      <c r="FH30" s="11">
        <v>0.85</v>
      </c>
      <c r="FI30" s="11">
        <v>2.2400000000000002</v>
      </c>
      <c r="FJ30" s="11">
        <v>0.81</v>
      </c>
      <c r="FK30" s="11">
        <v>0.79</v>
      </c>
      <c r="FL30" s="11">
        <v>1.87</v>
      </c>
      <c r="FM30" s="11">
        <v>0.28999999999999998</v>
      </c>
      <c r="FN30" s="11">
        <v>2.2999999999999998</v>
      </c>
      <c r="FO30" s="16">
        <v>0.16</v>
      </c>
      <c r="FP30" s="11">
        <v>2.74</v>
      </c>
      <c r="FQ30" s="11">
        <v>0.43</v>
      </c>
      <c r="FR30" s="11">
        <v>0.34</v>
      </c>
      <c r="FS30" s="11">
        <v>0.77</v>
      </c>
      <c r="FT30" s="11">
        <v>1.88</v>
      </c>
      <c r="FU30" s="11">
        <v>0.92</v>
      </c>
      <c r="FV30" s="11">
        <v>0.37</v>
      </c>
      <c r="FW30" s="11">
        <v>0.79</v>
      </c>
      <c r="FX30" s="11">
        <v>1.04</v>
      </c>
      <c r="FY30" s="11">
        <v>1.02</v>
      </c>
      <c r="FZ30" s="11">
        <v>0.15</v>
      </c>
      <c r="GA30" s="11">
        <v>0.01</v>
      </c>
      <c r="GB30" s="11">
        <v>0.31</v>
      </c>
      <c r="GC30" s="11">
        <v>2.42</v>
      </c>
      <c r="GD30" s="16">
        <v>0.16</v>
      </c>
      <c r="GE30" s="11">
        <v>0.02</v>
      </c>
      <c r="GF30" s="11">
        <v>0.03</v>
      </c>
      <c r="GG30" s="11">
        <v>1.1299999999999999</v>
      </c>
      <c r="GH30" s="11">
        <v>0.65</v>
      </c>
      <c r="GI30" s="11">
        <v>2.6</v>
      </c>
      <c r="GJ30" s="16">
        <v>0.01</v>
      </c>
      <c r="GK30" s="11">
        <v>1.65</v>
      </c>
      <c r="GL30" s="11">
        <v>2.04</v>
      </c>
      <c r="GM30" s="11">
        <v>0.41</v>
      </c>
      <c r="GN30" s="11">
        <v>0.78</v>
      </c>
      <c r="GO30" s="11">
        <v>1</v>
      </c>
      <c r="GP30" s="11">
        <v>1.47</v>
      </c>
      <c r="GQ30" s="11">
        <v>0</v>
      </c>
      <c r="GR30" s="11">
        <v>0.73</v>
      </c>
      <c r="GS30" s="11">
        <v>0.89</v>
      </c>
      <c r="HB30" s="11">
        <v>0.56999999999999995</v>
      </c>
      <c r="HC30" s="11">
        <v>0.16</v>
      </c>
      <c r="HD30" s="11">
        <v>0.8</v>
      </c>
      <c r="HE30" s="11">
        <v>0.63</v>
      </c>
      <c r="HF30" s="11">
        <v>0.62</v>
      </c>
      <c r="HG30" s="11">
        <v>1.0900000000000001</v>
      </c>
      <c r="HH30" s="11">
        <v>0.96</v>
      </c>
      <c r="HI30" s="11">
        <v>0.37</v>
      </c>
      <c r="HK30" s="11">
        <v>0</v>
      </c>
      <c r="HL30" s="11">
        <v>0.56000000000000005</v>
      </c>
      <c r="HM30" s="11">
        <v>0.62</v>
      </c>
      <c r="HN30" s="11">
        <v>1.18</v>
      </c>
      <c r="HO30" s="11">
        <v>1.64</v>
      </c>
      <c r="HP30" s="11">
        <v>0.31</v>
      </c>
      <c r="HQ30" s="11">
        <v>0.19</v>
      </c>
      <c r="HR30" s="11">
        <v>0.77</v>
      </c>
      <c r="HS30" s="11">
        <v>0.27</v>
      </c>
      <c r="HT30" s="11">
        <v>0.44</v>
      </c>
      <c r="HU30" s="11">
        <v>0.02</v>
      </c>
      <c r="HV30" s="11">
        <v>0.05</v>
      </c>
      <c r="HW30" s="11">
        <v>7.0000000000000007E-2</v>
      </c>
      <c r="HX30" s="11">
        <v>0.13</v>
      </c>
      <c r="HY30" s="11">
        <v>1.01</v>
      </c>
    </row>
    <row r="31" spans="1:233" x14ac:dyDescent="0.5">
      <c r="A31" s="18" t="s">
        <v>26</v>
      </c>
      <c r="B31" s="3">
        <v>2.67</v>
      </c>
      <c r="C31" s="16">
        <v>3.91</v>
      </c>
      <c r="D31" s="16">
        <v>4.29</v>
      </c>
      <c r="E31" s="16">
        <v>8.23</v>
      </c>
      <c r="F31" s="16">
        <v>1.46</v>
      </c>
      <c r="G31" s="16">
        <v>120.23</v>
      </c>
      <c r="H31" s="16">
        <v>14.7</v>
      </c>
      <c r="I31" s="16">
        <v>1.01</v>
      </c>
      <c r="J31" s="16">
        <v>1.75</v>
      </c>
      <c r="K31" s="27">
        <v>0.89</v>
      </c>
      <c r="L31" s="16">
        <v>1.5</v>
      </c>
      <c r="M31" s="16">
        <v>1.4</v>
      </c>
      <c r="N31" s="16">
        <v>1.98</v>
      </c>
      <c r="O31" s="11">
        <v>2.0699999999999998</v>
      </c>
      <c r="P31" s="11">
        <v>2.69</v>
      </c>
      <c r="Q31" s="11">
        <v>2.72</v>
      </c>
      <c r="S31" s="11">
        <v>1.55</v>
      </c>
      <c r="T31" s="11">
        <v>0.79</v>
      </c>
      <c r="U31" s="11">
        <v>0.62</v>
      </c>
      <c r="V31" s="11">
        <v>1.08</v>
      </c>
      <c r="W31" s="11">
        <v>1.1200000000000001</v>
      </c>
      <c r="X31" s="11">
        <v>1.1399999999999999</v>
      </c>
      <c r="Y31" s="11">
        <v>1.33</v>
      </c>
      <c r="Z31" s="11">
        <v>6.43</v>
      </c>
      <c r="AA31" s="11">
        <v>1.31</v>
      </c>
      <c r="AB31" s="16">
        <v>2.9</v>
      </c>
      <c r="AC31" s="11">
        <v>1.07</v>
      </c>
      <c r="AD31" s="11">
        <v>1.03</v>
      </c>
      <c r="AF31" s="16">
        <v>0.73</v>
      </c>
      <c r="AG31" s="11">
        <v>2.31</v>
      </c>
      <c r="AH31" s="16">
        <v>1.45</v>
      </c>
      <c r="AI31" s="11">
        <v>1.1499999999999999</v>
      </c>
      <c r="AJ31" s="11">
        <v>0.71</v>
      </c>
      <c r="AK31" s="11">
        <v>1.08</v>
      </c>
      <c r="AM31" s="11">
        <v>1.21</v>
      </c>
      <c r="AN31" s="11">
        <v>1.1100000000000001</v>
      </c>
      <c r="AO31" s="11">
        <v>0.93</v>
      </c>
      <c r="AP31" s="11">
        <v>0.82</v>
      </c>
      <c r="AQ31" s="11">
        <v>1</v>
      </c>
      <c r="AS31" s="11">
        <v>1.38</v>
      </c>
      <c r="AT31" s="11">
        <v>1.25</v>
      </c>
      <c r="AU31" s="11">
        <v>1.07</v>
      </c>
      <c r="AV31" s="11">
        <v>0.88</v>
      </c>
      <c r="AX31" s="11">
        <v>1.6</v>
      </c>
      <c r="AY31" s="11">
        <v>1.66</v>
      </c>
      <c r="AZ31" s="11">
        <v>0.85</v>
      </c>
      <c r="BA31" s="11">
        <v>0.89</v>
      </c>
      <c r="BB31" s="11">
        <v>1.1200000000000001</v>
      </c>
      <c r="BC31" s="11">
        <v>2.82</v>
      </c>
      <c r="BD31" s="11">
        <v>2.5</v>
      </c>
      <c r="BE31" s="35">
        <v>2.21</v>
      </c>
      <c r="BF31" s="11">
        <v>4.45</v>
      </c>
      <c r="BG31" s="11">
        <v>1.18</v>
      </c>
      <c r="BH31" s="11">
        <v>5.59</v>
      </c>
      <c r="BI31" s="11">
        <v>2.69</v>
      </c>
      <c r="BJ31" s="11">
        <v>1.6</v>
      </c>
      <c r="BK31" s="16">
        <v>1.1399999999999999</v>
      </c>
      <c r="BL31" s="16">
        <v>1.36</v>
      </c>
      <c r="BM31" s="11">
        <v>0.94</v>
      </c>
      <c r="BN31" s="11">
        <v>1.7</v>
      </c>
      <c r="BO31" s="11">
        <v>1.35</v>
      </c>
      <c r="BP31" s="11">
        <v>1.5</v>
      </c>
      <c r="BR31" s="11">
        <v>1</v>
      </c>
      <c r="BS31" s="11">
        <v>3.25</v>
      </c>
      <c r="BU31" s="11">
        <v>0.78</v>
      </c>
      <c r="BV31" s="11">
        <v>0.72</v>
      </c>
      <c r="BW31" s="11">
        <v>4.7300000000000004</v>
      </c>
      <c r="BX31" s="11">
        <v>3.93</v>
      </c>
      <c r="BY31" s="11">
        <v>0.82</v>
      </c>
      <c r="BZ31" s="11">
        <v>0.91</v>
      </c>
      <c r="CA31" s="11">
        <v>2.36</v>
      </c>
      <c r="CC31" s="11">
        <v>0.99</v>
      </c>
      <c r="CD31" s="11">
        <v>1.06</v>
      </c>
      <c r="CF31" s="11">
        <v>1.01</v>
      </c>
      <c r="CG31" s="11">
        <v>0.55000000000000004</v>
      </c>
      <c r="CI31" s="11">
        <v>1.28</v>
      </c>
      <c r="CK31" s="11">
        <v>2.0699999999999998</v>
      </c>
      <c r="CL31" s="11">
        <v>0.98</v>
      </c>
      <c r="CN31" s="11">
        <v>3.25</v>
      </c>
      <c r="CO31" s="11">
        <v>0.74</v>
      </c>
      <c r="CP31" s="11">
        <v>1.0900000000000001</v>
      </c>
      <c r="CQ31" s="11">
        <v>1.17</v>
      </c>
      <c r="CR31" s="11">
        <v>1.33</v>
      </c>
      <c r="CS31" s="11">
        <v>1.03</v>
      </c>
      <c r="CT31" s="11">
        <v>1.42</v>
      </c>
      <c r="CU31" s="11">
        <v>0.77</v>
      </c>
      <c r="CW31" s="11">
        <v>0.97</v>
      </c>
      <c r="CX31" s="11">
        <v>1.52</v>
      </c>
      <c r="CY31" s="11">
        <v>1.51</v>
      </c>
      <c r="CZ31" s="11">
        <v>1.53</v>
      </c>
      <c r="DA31" s="11">
        <v>1.28</v>
      </c>
      <c r="DB31" s="11">
        <v>1.1299999999999999</v>
      </c>
      <c r="DC31" s="11">
        <v>0.83</v>
      </c>
      <c r="DD31" s="11">
        <v>1.88</v>
      </c>
      <c r="DE31" s="11">
        <v>1.1100000000000001</v>
      </c>
      <c r="DF31" s="11">
        <v>0.76</v>
      </c>
      <c r="DG31" s="11">
        <v>1.17</v>
      </c>
      <c r="DH31" s="11">
        <v>1.28</v>
      </c>
      <c r="DI31" s="11">
        <v>3.12</v>
      </c>
      <c r="DJ31" s="11">
        <v>1.46</v>
      </c>
      <c r="DM31" s="11">
        <v>1.02</v>
      </c>
      <c r="DN31" s="11">
        <v>1.85</v>
      </c>
      <c r="DO31" s="11">
        <v>1.01</v>
      </c>
      <c r="DP31" s="11">
        <v>0.75</v>
      </c>
      <c r="DQ31" s="11">
        <v>1.05</v>
      </c>
      <c r="DR31" s="11">
        <v>6.99</v>
      </c>
      <c r="DS31" s="11">
        <v>0.3</v>
      </c>
      <c r="DT31" s="11">
        <v>1.61</v>
      </c>
      <c r="DU31" s="11">
        <v>2.23</v>
      </c>
      <c r="DV31" s="11">
        <v>1.36</v>
      </c>
      <c r="DX31" s="11">
        <v>1.06</v>
      </c>
      <c r="DZ31" s="11">
        <v>0.77</v>
      </c>
      <c r="EA31" s="11">
        <v>0.87</v>
      </c>
      <c r="EB31" s="11">
        <v>2.0099999999999998</v>
      </c>
      <c r="EC31" s="11">
        <v>1.53</v>
      </c>
      <c r="EE31" s="11">
        <v>0.38</v>
      </c>
      <c r="EF31" s="11">
        <v>2.3199999999999998</v>
      </c>
      <c r="EG31" s="11">
        <v>1.56</v>
      </c>
      <c r="EH31" s="11">
        <v>4.5199999999999996</v>
      </c>
      <c r="EI31" s="11">
        <v>0.85</v>
      </c>
      <c r="EJ31" s="11">
        <v>1.67</v>
      </c>
      <c r="EL31" s="11">
        <v>1.32</v>
      </c>
      <c r="EM31" s="11">
        <v>1.07</v>
      </c>
      <c r="EN31" s="11">
        <v>0.88</v>
      </c>
      <c r="EO31" s="11">
        <v>1.67</v>
      </c>
      <c r="EQ31" s="11">
        <v>2.36</v>
      </c>
      <c r="EZ31" s="11">
        <v>1.88</v>
      </c>
      <c r="FA31" s="16">
        <v>0.71</v>
      </c>
      <c r="FB31" s="11">
        <v>2.46</v>
      </c>
      <c r="FC31" s="11">
        <v>3.22</v>
      </c>
      <c r="FD31" s="11">
        <v>57.08</v>
      </c>
      <c r="FE31" s="11">
        <v>0.34</v>
      </c>
      <c r="FF31" s="11">
        <v>1.1499999999999999</v>
      </c>
      <c r="FG31" s="11">
        <v>3.29</v>
      </c>
      <c r="FH31" s="11">
        <v>1.1299999999999999</v>
      </c>
      <c r="FI31" s="11">
        <v>4.3899999999999997</v>
      </c>
      <c r="FJ31" s="11">
        <v>2.25</v>
      </c>
      <c r="FK31" s="11">
        <v>5.39</v>
      </c>
      <c r="FL31" s="11">
        <v>3.67</v>
      </c>
      <c r="FM31" s="11">
        <v>1.89</v>
      </c>
      <c r="FN31" s="11">
        <v>0.72</v>
      </c>
      <c r="FO31" s="16">
        <v>2.29</v>
      </c>
      <c r="FP31" s="11">
        <v>1.27</v>
      </c>
      <c r="FQ31" s="11">
        <v>1.55</v>
      </c>
      <c r="FR31" s="11">
        <v>2.0499999999999998</v>
      </c>
      <c r="FS31" s="11">
        <v>1.56</v>
      </c>
      <c r="FT31" s="11">
        <v>0.42</v>
      </c>
      <c r="FU31" s="11">
        <v>1.83</v>
      </c>
      <c r="FV31" s="11">
        <v>3.66</v>
      </c>
      <c r="FW31" s="11">
        <v>1.21</v>
      </c>
      <c r="FX31" s="11">
        <v>1.06</v>
      </c>
      <c r="FY31" s="11">
        <v>1.1499999999999999</v>
      </c>
      <c r="FZ31" s="11">
        <v>2.99</v>
      </c>
      <c r="GA31" s="11">
        <v>12.13</v>
      </c>
      <c r="GB31" s="11">
        <v>0.57999999999999996</v>
      </c>
      <c r="GC31" s="11">
        <v>1.32</v>
      </c>
      <c r="GD31" s="16">
        <v>2.83</v>
      </c>
      <c r="GE31" s="11">
        <v>7.41</v>
      </c>
      <c r="GF31" s="11">
        <v>12.78</v>
      </c>
      <c r="GG31" s="11">
        <v>1.48</v>
      </c>
      <c r="GH31" s="11">
        <v>2.35</v>
      </c>
      <c r="GI31" s="11">
        <v>2.04</v>
      </c>
      <c r="GJ31" s="16">
        <v>2.12</v>
      </c>
      <c r="GK31" s="11">
        <v>0.81</v>
      </c>
      <c r="GL31" s="11">
        <v>0.17</v>
      </c>
      <c r="GM31" s="11">
        <v>2.11</v>
      </c>
      <c r="GN31" s="11">
        <v>1.23</v>
      </c>
      <c r="GO31" s="11">
        <v>2.0099999999999998</v>
      </c>
      <c r="GP31" s="11">
        <v>0.49</v>
      </c>
      <c r="GQ31" s="11">
        <v>8.09</v>
      </c>
      <c r="GR31" s="11">
        <v>1.37</v>
      </c>
      <c r="GS31" s="11">
        <v>1.26</v>
      </c>
      <c r="HB31" s="11">
        <v>3.28</v>
      </c>
      <c r="HC31" s="11">
        <v>2.0099999999999998</v>
      </c>
      <c r="HD31" s="11">
        <v>1.55</v>
      </c>
      <c r="HE31" s="11">
        <v>0.88</v>
      </c>
      <c r="HF31" s="11">
        <v>1.59</v>
      </c>
      <c r="HG31" s="11">
        <v>1.97</v>
      </c>
      <c r="HH31" s="11">
        <v>3.35</v>
      </c>
      <c r="HI31" s="11">
        <v>2.2599999999999998</v>
      </c>
      <c r="HK31" s="11">
        <v>2.68</v>
      </c>
      <c r="HL31" s="11">
        <v>2.81</v>
      </c>
      <c r="HM31" s="11">
        <v>1.61</v>
      </c>
      <c r="HN31" s="11">
        <v>1.71</v>
      </c>
      <c r="HO31" s="11">
        <v>2.71</v>
      </c>
      <c r="HP31" s="11">
        <v>2.0099999999999998</v>
      </c>
      <c r="HQ31" s="11">
        <v>3.69</v>
      </c>
      <c r="HR31" s="11">
        <v>1.71</v>
      </c>
      <c r="HS31" s="11">
        <v>2.1800000000000002</v>
      </c>
      <c r="HT31" s="11">
        <v>2.6</v>
      </c>
      <c r="HU31" s="11">
        <v>2.15</v>
      </c>
      <c r="HV31" s="11">
        <v>5.43</v>
      </c>
      <c r="HW31" s="11">
        <v>3.91</v>
      </c>
      <c r="HX31" s="11">
        <v>1.36</v>
      </c>
      <c r="HY31" s="11">
        <v>3.03</v>
      </c>
    </row>
    <row r="32" spans="1:233" x14ac:dyDescent="0.5">
      <c r="A32" s="13" t="s">
        <v>27</v>
      </c>
      <c r="B32" s="3">
        <v>53.79</v>
      </c>
      <c r="C32" s="16">
        <v>18.45</v>
      </c>
      <c r="D32" s="16">
        <v>37.229999999999997</v>
      </c>
      <c r="E32" s="16">
        <v>5202.3999999999996</v>
      </c>
      <c r="F32" s="16">
        <v>4.99</v>
      </c>
      <c r="G32" s="16">
        <v>174.15</v>
      </c>
      <c r="H32" s="16">
        <v>109.53</v>
      </c>
      <c r="I32" s="16">
        <v>3.95</v>
      </c>
      <c r="J32" s="16">
        <v>8.5500000000000007</v>
      </c>
      <c r="K32" s="27">
        <v>9.5399999999999991</v>
      </c>
      <c r="L32" s="16">
        <v>28.63</v>
      </c>
      <c r="M32" s="16">
        <v>13.07</v>
      </c>
      <c r="N32" s="16">
        <v>8.3800000000000008</v>
      </c>
      <c r="O32" s="11">
        <v>15.22</v>
      </c>
      <c r="P32" s="11">
        <v>9.77</v>
      </c>
      <c r="Q32" s="11">
        <v>2.1800000000000002</v>
      </c>
      <c r="S32" s="11">
        <v>14.67</v>
      </c>
      <c r="T32" s="11">
        <v>1.25</v>
      </c>
      <c r="U32" s="11">
        <v>13.48</v>
      </c>
      <c r="V32" s="11">
        <v>16.32</v>
      </c>
      <c r="W32" s="11">
        <v>16.05</v>
      </c>
      <c r="X32" s="11">
        <v>1.57</v>
      </c>
      <c r="Y32" s="11">
        <v>10.89</v>
      </c>
      <c r="Z32" s="11">
        <v>105.49</v>
      </c>
      <c r="AA32" s="11">
        <v>10.55</v>
      </c>
      <c r="AB32" s="16">
        <v>6.24</v>
      </c>
      <c r="AC32" s="11">
        <v>5.18</v>
      </c>
      <c r="AD32" s="11">
        <v>1.47</v>
      </c>
      <c r="AF32" s="16">
        <v>7.55</v>
      </c>
      <c r="AG32" s="11">
        <v>11.98</v>
      </c>
      <c r="AH32" s="16">
        <v>2.25</v>
      </c>
      <c r="AI32" s="11">
        <v>2.58</v>
      </c>
      <c r="AJ32" s="11">
        <v>4.3099999999999996</v>
      </c>
      <c r="AK32" s="11">
        <v>7.53</v>
      </c>
      <c r="AL32" s="11">
        <v>1.78</v>
      </c>
      <c r="AM32" s="11">
        <v>6.91</v>
      </c>
      <c r="AN32" s="11">
        <v>6.83</v>
      </c>
      <c r="AO32" s="11">
        <v>5.19</v>
      </c>
      <c r="AP32" s="11">
        <v>0.79</v>
      </c>
      <c r="AQ32" s="11">
        <v>5.17</v>
      </c>
      <c r="AS32" s="11">
        <v>4.66</v>
      </c>
      <c r="AT32" s="11">
        <v>1.26</v>
      </c>
      <c r="AU32" s="11">
        <v>3.13</v>
      </c>
      <c r="AV32" s="11">
        <v>4.9000000000000004</v>
      </c>
      <c r="AZ32" s="11">
        <v>6.99</v>
      </c>
      <c r="BA32" s="11">
        <v>3.99</v>
      </c>
      <c r="BB32" s="11">
        <v>5.68</v>
      </c>
      <c r="BC32" s="11">
        <v>4.3099999999999996</v>
      </c>
      <c r="BD32" s="11">
        <v>6.49</v>
      </c>
      <c r="BE32" s="35">
        <v>9.86</v>
      </c>
      <c r="BF32" s="11">
        <v>9.01</v>
      </c>
      <c r="BG32" s="11">
        <v>2.2599999999999998</v>
      </c>
      <c r="BH32" s="11">
        <v>37.409999999999997</v>
      </c>
      <c r="BI32" s="11">
        <v>12.77</v>
      </c>
      <c r="BJ32" s="11">
        <v>3.58</v>
      </c>
      <c r="BK32" s="16">
        <v>2.75</v>
      </c>
      <c r="BL32" s="16">
        <v>9.7899999999999991</v>
      </c>
      <c r="BM32" s="11">
        <v>15.25</v>
      </c>
      <c r="BN32" s="11">
        <v>5.13</v>
      </c>
      <c r="BO32" s="11">
        <v>0.96</v>
      </c>
      <c r="BP32" s="11">
        <v>5.65</v>
      </c>
      <c r="BQ32" s="11">
        <v>3.69</v>
      </c>
      <c r="BR32" s="11">
        <v>10.16</v>
      </c>
      <c r="BS32" s="11">
        <v>33.51</v>
      </c>
      <c r="BU32" s="11">
        <v>4.26</v>
      </c>
      <c r="BV32" s="11">
        <v>2.5</v>
      </c>
      <c r="BW32" s="11">
        <v>20.14</v>
      </c>
      <c r="BX32" s="11">
        <v>17.989999999999998</v>
      </c>
      <c r="BY32" s="11">
        <v>6.5</v>
      </c>
      <c r="BZ32" s="11">
        <v>2.57</v>
      </c>
      <c r="CA32" s="11">
        <v>2.4500000000000002</v>
      </c>
      <c r="CD32" s="11">
        <v>13.55</v>
      </c>
      <c r="CE32" s="11">
        <v>7.82</v>
      </c>
      <c r="CF32" s="11">
        <v>2.54</v>
      </c>
      <c r="CG32" s="11">
        <v>10.1</v>
      </c>
      <c r="CI32" s="11">
        <v>6.05</v>
      </c>
      <c r="CK32" s="11">
        <v>8.32</v>
      </c>
      <c r="CL32" s="11">
        <v>6.65</v>
      </c>
      <c r="CN32" s="11">
        <v>18.87</v>
      </c>
      <c r="CO32" s="11">
        <v>2.44</v>
      </c>
      <c r="CP32" s="11">
        <v>1.86</v>
      </c>
      <c r="CQ32" s="11">
        <v>2.92</v>
      </c>
      <c r="CR32" s="11">
        <v>6.13</v>
      </c>
      <c r="CS32" s="11">
        <v>3.97</v>
      </c>
      <c r="CT32" s="11">
        <v>2.14</v>
      </c>
      <c r="CU32" s="11">
        <v>2.62</v>
      </c>
      <c r="CW32" s="11">
        <v>10.7</v>
      </c>
      <c r="CX32" s="11">
        <v>6.8</v>
      </c>
      <c r="CY32" s="11">
        <v>8.2200000000000006</v>
      </c>
      <c r="CZ32" s="11">
        <v>5.6</v>
      </c>
      <c r="DA32" s="11">
        <v>5.85</v>
      </c>
      <c r="DB32" s="11">
        <v>1.7</v>
      </c>
      <c r="DC32" s="11">
        <v>1.18</v>
      </c>
      <c r="DD32" s="11">
        <v>30.25</v>
      </c>
      <c r="DF32" s="11">
        <v>3.29</v>
      </c>
      <c r="DG32" s="11">
        <v>4.3</v>
      </c>
      <c r="DH32" s="11">
        <v>2.96</v>
      </c>
      <c r="DI32" s="11">
        <v>18.45</v>
      </c>
      <c r="DJ32" s="11">
        <v>3.09</v>
      </c>
      <c r="DM32" s="11">
        <v>5.93</v>
      </c>
      <c r="DN32" s="11">
        <v>6.15</v>
      </c>
      <c r="DO32" s="11">
        <v>0.93</v>
      </c>
      <c r="DP32" s="11">
        <v>6.6</v>
      </c>
      <c r="DQ32" s="11">
        <v>1.97</v>
      </c>
      <c r="DR32" s="11">
        <v>14.33</v>
      </c>
      <c r="DS32" s="11">
        <v>1.57</v>
      </c>
      <c r="DT32" s="11">
        <v>6.1</v>
      </c>
      <c r="DU32" s="11">
        <v>4.22</v>
      </c>
      <c r="DV32" s="11">
        <v>3.64</v>
      </c>
      <c r="DW32" s="11">
        <v>3.44</v>
      </c>
      <c r="DX32" s="11">
        <v>2.52</v>
      </c>
      <c r="DZ32" s="11">
        <v>16.940000000000001</v>
      </c>
      <c r="EA32" s="11">
        <v>4.53</v>
      </c>
      <c r="EB32" s="11">
        <v>4.0599999999999996</v>
      </c>
      <c r="EC32" s="11">
        <v>2.5099999999999998</v>
      </c>
      <c r="EE32" s="11">
        <v>2.29</v>
      </c>
      <c r="EF32" s="11">
        <v>11.33</v>
      </c>
      <c r="EG32" s="11">
        <v>4.71</v>
      </c>
      <c r="EH32" s="11">
        <v>9.23</v>
      </c>
      <c r="EI32" s="11">
        <v>2.0699999999999998</v>
      </c>
      <c r="EJ32" s="11">
        <v>5.79</v>
      </c>
      <c r="EL32" s="11">
        <v>2.0299999999999998</v>
      </c>
      <c r="EM32" s="11">
        <v>5.81</v>
      </c>
      <c r="EN32" s="11">
        <v>0.28999999999999998</v>
      </c>
      <c r="EO32" s="11">
        <v>5.79</v>
      </c>
      <c r="EQ32" s="11">
        <v>7.99</v>
      </c>
      <c r="EZ32" s="11">
        <v>11.32</v>
      </c>
      <c r="FA32" s="16">
        <v>2.13</v>
      </c>
      <c r="FB32" s="11">
        <v>2.39</v>
      </c>
      <c r="FC32" s="11">
        <v>4.67</v>
      </c>
      <c r="FD32" s="11">
        <v>10.1</v>
      </c>
      <c r="FE32" s="11">
        <v>2.33</v>
      </c>
      <c r="FG32" s="11">
        <v>4.5</v>
      </c>
      <c r="FH32" s="11">
        <v>1.92</v>
      </c>
      <c r="FI32" s="11">
        <v>18.09</v>
      </c>
      <c r="FJ32" s="11">
        <v>8.4499999999999993</v>
      </c>
      <c r="FK32" s="11">
        <v>1.17</v>
      </c>
      <c r="FL32" s="11">
        <v>2.65</v>
      </c>
      <c r="FM32" s="11">
        <v>5.0599999999999996</v>
      </c>
      <c r="FN32" s="11">
        <v>1.3</v>
      </c>
      <c r="FO32" s="16">
        <v>4.84</v>
      </c>
      <c r="FP32" s="11">
        <v>2.69</v>
      </c>
      <c r="FQ32" s="11">
        <v>4.3099999999999996</v>
      </c>
      <c r="FR32" s="11">
        <v>6.82</v>
      </c>
      <c r="FS32" s="11">
        <v>5.42</v>
      </c>
      <c r="FT32" s="11">
        <v>8.69</v>
      </c>
      <c r="FU32" s="11">
        <v>7.22</v>
      </c>
      <c r="FV32" s="11">
        <v>19.989999999999998</v>
      </c>
      <c r="FW32" s="11">
        <v>5.68</v>
      </c>
      <c r="FX32" s="11">
        <v>1.5</v>
      </c>
      <c r="FY32" s="11">
        <v>7.12</v>
      </c>
      <c r="FZ32" s="11">
        <v>16.170000000000002</v>
      </c>
      <c r="GA32" s="11">
        <v>18.2</v>
      </c>
      <c r="GB32" s="11">
        <v>5.73</v>
      </c>
      <c r="GC32" s="11">
        <v>2.69</v>
      </c>
      <c r="GD32" s="16">
        <v>4.47</v>
      </c>
      <c r="GE32" s="11">
        <v>46.39</v>
      </c>
      <c r="GF32" s="11">
        <v>37.130000000000003</v>
      </c>
      <c r="GG32" s="11">
        <v>21.17</v>
      </c>
      <c r="GH32" s="11">
        <v>10.76</v>
      </c>
      <c r="GI32" s="11">
        <v>40.229999999999997</v>
      </c>
      <c r="GJ32" s="16">
        <v>7.48</v>
      </c>
      <c r="GK32" s="11">
        <v>2.13</v>
      </c>
      <c r="GL32" s="11">
        <v>5.18</v>
      </c>
      <c r="GM32" s="11">
        <v>6.22</v>
      </c>
      <c r="GN32" s="11">
        <v>0.56999999999999995</v>
      </c>
      <c r="GO32" s="11">
        <v>18.29</v>
      </c>
      <c r="GP32" s="11">
        <v>11.49</v>
      </c>
      <c r="GQ32" s="11">
        <v>23.88</v>
      </c>
      <c r="GR32" s="11">
        <v>2.4300000000000002</v>
      </c>
      <c r="GS32" s="11">
        <v>7.32</v>
      </c>
      <c r="HB32" s="11">
        <v>6.49</v>
      </c>
      <c r="HC32" s="11">
        <v>8.08</v>
      </c>
      <c r="HD32" s="11">
        <v>8.84</v>
      </c>
      <c r="HE32" s="11">
        <v>7.53</v>
      </c>
      <c r="HF32" s="11">
        <v>8.6300000000000008</v>
      </c>
      <c r="HG32" s="11">
        <v>1.1299999999999999</v>
      </c>
      <c r="HH32" s="11">
        <v>6.62</v>
      </c>
      <c r="HI32" s="11">
        <v>13.54</v>
      </c>
      <c r="HK32" s="11">
        <v>6.36</v>
      </c>
      <c r="HL32" s="11">
        <v>14.9</v>
      </c>
      <c r="HM32" s="11">
        <v>8.94</v>
      </c>
      <c r="HN32" s="11">
        <v>7.24</v>
      </c>
      <c r="HO32" s="11">
        <v>5.96</v>
      </c>
      <c r="HP32" s="11">
        <v>17.73</v>
      </c>
      <c r="HQ32" s="11">
        <v>4.5</v>
      </c>
      <c r="HR32" s="11">
        <v>1.1000000000000001</v>
      </c>
      <c r="HS32" s="11">
        <v>1.1000000000000001</v>
      </c>
      <c r="HT32" s="11">
        <v>10.72</v>
      </c>
      <c r="HU32" s="11">
        <v>13.87</v>
      </c>
      <c r="HV32" s="11">
        <v>46.82</v>
      </c>
      <c r="HW32" s="11">
        <v>21.87</v>
      </c>
      <c r="HX32" s="11">
        <v>14.09</v>
      </c>
      <c r="HY32" s="11">
        <v>17.37</v>
      </c>
    </row>
    <row r="33" spans="1:233" x14ac:dyDescent="0.5">
      <c r="A33" s="5" t="s">
        <v>28</v>
      </c>
      <c r="B33" s="6">
        <f>B25/2</f>
        <v>-22.04</v>
      </c>
      <c r="C33" s="6">
        <f>C25/2</f>
        <v>-22.04</v>
      </c>
      <c r="D33" s="6">
        <f t="shared" ref="D33:AA33" si="169">D25/2</f>
        <v>-22.04</v>
      </c>
      <c r="E33" s="6">
        <f t="shared" si="169"/>
        <v>-22.04</v>
      </c>
      <c r="F33" s="6">
        <f t="shared" si="169"/>
        <v>-22.04</v>
      </c>
      <c r="G33" s="6">
        <f t="shared" si="169"/>
        <v>-22.04</v>
      </c>
      <c r="H33" s="6">
        <f t="shared" si="169"/>
        <v>-22.04</v>
      </c>
      <c r="I33" s="6">
        <f t="shared" si="169"/>
        <v>-22.04</v>
      </c>
      <c r="J33" s="6">
        <f t="shared" si="169"/>
        <v>-22.04</v>
      </c>
      <c r="K33" s="6">
        <f t="shared" si="169"/>
        <v>-22.04</v>
      </c>
      <c r="L33" s="6">
        <f t="shared" si="169"/>
        <v>-22.04</v>
      </c>
      <c r="M33" s="6">
        <f t="shared" si="169"/>
        <v>-22.04</v>
      </c>
      <c r="N33" s="6">
        <f t="shared" si="169"/>
        <v>-22.04</v>
      </c>
      <c r="O33" s="6">
        <f t="shared" si="169"/>
        <v>-22.04</v>
      </c>
      <c r="P33" s="6">
        <f t="shared" si="169"/>
        <v>-22.04</v>
      </c>
      <c r="Q33" s="6">
        <f t="shared" si="169"/>
        <v>-22.04</v>
      </c>
      <c r="R33" s="6">
        <f t="shared" si="169"/>
        <v>-22.04</v>
      </c>
      <c r="S33" s="6">
        <f t="shared" si="169"/>
        <v>-22.04</v>
      </c>
      <c r="T33" s="6">
        <f t="shared" si="169"/>
        <v>-22.04</v>
      </c>
      <c r="U33" s="6">
        <f t="shared" si="169"/>
        <v>-22.04</v>
      </c>
      <c r="V33" s="6">
        <f t="shared" si="169"/>
        <v>-22.04</v>
      </c>
      <c r="W33" s="6">
        <f t="shared" si="169"/>
        <v>-22.04</v>
      </c>
      <c r="X33" s="6">
        <f t="shared" si="169"/>
        <v>-22.04</v>
      </c>
      <c r="Y33" s="6">
        <f t="shared" si="169"/>
        <v>-22.04</v>
      </c>
      <c r="Z33" s="6">
        <f t="shared" si="169"/>
        <v>-22.04</v>
      </c>
      <c r="AA33" s="6">
        <f t="shared" si="169"/>
        <v>-22.04</v>
      </c>
      <c r="AB33" s="6">
        <f>AB25/2</f>
        <v>-22.04</v>
      </c>
      <c r="AC33" s="6">
        <f t="shared" ref="AC33:CN33" si="170">AC25/2</f>
        <v>-22.04</v>
      </c>
      <c r="AD33" s="6">
        <f t="shared" si="170"/>
        <v>-22.04</v>
      </c>
      <c r="AE33" s="6">
        <f t="shared" si="170"/>
        <v>-22.04</v>
      </c>
      <c r="AF33" s="6">
        <f t="shared" si="170"/>
        <v>-22.04</v>
      </c>
      <c r="AG33" s="6">
        <f t="shared" si="170"/>
        <v>-22.04</v>
      </c>
      <c r="AH33" s="6">
        <f t="shared" si="170"/>
        <v>-22.04</v>
      </c>
      <c r="AI33" s="6">
        <f t="shared" si="170"/>
        <v>-22.04</v>
      </c>
      <c r="AJ33" s="6">
        <f t="shared" si="170"/>
        <v>-22.04</v>
      </c>
      <c r="AK33" s="6">
        <f t="shared" si="170"/>
        <v>-22.04</v>
      </c>
      <c r="AL33" s="6">
        <f t="shared" si="170"/>
        <v>-22.04</v>
      </c>
      <c r="AM33" s="6">
        <f t="shared" si="170"/>
        <v>-22.04</v>
      </c>
      <c r="AN33" s="6">
        <f t="shared" si="170"/>
        <v>-22.04</v>
      </c>
      <c r="AO33" s="6">
        <f t="shared" si="170"/>
        <v>-22.04</v>
      </c>
      <c r="AP33" s="6">
        <f t="shared" si="170"/>
        <v>-22.04</v>
      </c>
      <c r="AQ33" s="6">
        <f t="shared" si="170"/>
        <v>-22.04</v>
      </c>
      <c r="AR33" s="6">
        <f t="shared" si="170"/>
        <v>-22.04</v>
      </c>
      <c r="AS33" s="6">
        <f t="shared" si="170"/>
        <v>-22.04</v>
      </c>
      <c r="AT33" s="6">
        <f t="shared" si="170"/>
        <v>-22.04</v>
      </c>
      <c r="AU33" s="6">
        <f t="shared" si="170"/>
        <v>-22.04</v>
      </c>
      <c r="AV33" s="6">
        <f t="shared" si="170"/>
        <v>-22.04</v>
      </c>
      <c r="AW33" s="6">
        <f t="shared" si="170"/>
        <v>-22.04</v>
      </c>
      <c r="AX33" s="6">
        <f t="shared" si="170"/>
        <v>-22.04</v>
      </c>
      <c r="AY33" s="6">
        <f t="shared" si="170"/>
        <v>-22.04</v>
      </c>
      <c r="AZ33" s="6">
        <f t="shared" si="170"/>
        <v>-22.04</v>
      </c>
      <c r="BA33" s="6">
        <f t="shared" si="170"/>
        <v>-22.04</v>
      </c>
      <c r="BB33" s="6">
        <f t="shared" si="170"/>
        <v>-22.04</v>
      </c>
      <c r="BC33" s="6">
        <f t="shared" si="170"/>
        <v>-22.04</v>
      </c>
      <c r="BD33" s="32">
        <f t="shared" si="170"/>
        <v>-22.04</v>
      </c>
      <c r="BE33" s="6">
        <f t="shared" si="170"/>
        <v>-22.04</v>
      </c>
      <c r="BF33" s="37">
        <f t="shared" si="170"/>
        <v>-22.04</v>
      </c>
      <c r="BG33" s="6">
        <f t="shared" si="170"/>
        <v>-22.04</v>
      </c>
      <c r="BH33" s="6">
        <f t="shared" si="170"/>
        <v>-22.04</v>
      </c>
      <c r="BI33" s="6">
        <f t="shared" si="170"/>
        <v>-22.04</v>
      </c>
      <c r="BJ33" s="32">
        <f t="shared" si="170"/>
        <v>-22.04</v>
      </c>
      <c r="BK33" s="6">
        <f t="shared" si="170"/>
        <v>-22.04</v>
      </c>
      <c r="BL33" s="6">
        <f t="shared" si="170"/>
        <v>-22.04</v>
      </c>
      <c r="BM33" s="6">
        <f t="shared" si="170"/>
        <v>-22.04</v>
      </c>
      <c r="BN33" s="6">
        <f t="shared" si="170"/>
        <v>-22.04</v>
      </c>
      <c r="BO33" s="6">
        <f t="shared" si="170"/>
        <v>-22.04</v>
      </c>
      <c r="BP33" s="6">
        <f t="shared" si="170"/>
        <v>-22.04</v>
      </c>
      <c r="BQ33" s="6">
        <f t="shared" si="170"/>
        <v>-22.04</v>
      </c>
      <c r="BR33" s="6">
        <f t="shared" si="170"/>
        <v>-22.04</v>
      </c>
      <c r="BS33" s="6">
        <f t="shared" si="170"/>
        <v>-22.04</v>
      </c>
      <c r="BT33" s="6">
        <f t="shared" si="170"/>
        <v>-22.04</v>
      </c>
      <c r="BU33" s="6">
        <f t="shared" si="170"/>
        <v>-22.04</v>
      </c>
      <c r="BV33" s="6">
        <f t="shared" si="170"/>
        <v>-22.04</v>
      </c>
      <c r="BW33" s="6">
        <f t="shared" si="170"/>
        <v>-22.04</v>
      </c>
      <c r="BX33" s="6">
        <f t="shared" si="170"/>
        <v>-22.04</v>
      </c>
      <c r="BY33" s="6">
        <f t="shared" si="170"/>
        <v>-22.04</v>
      </c>
      <c r="BZ33" s="6">
        <f t="shared" si="170"/>
        <v>-22.04</v>
      </c>
      <c r="CA33" s="6">
        <f t="shared" si="170"/>
        <v>-22.04</v>
      </c>
      <c r="CB33" s="6">
        <f t="shared" si="170"/>
        <v>-22.04</v>
      </c>
      <c r="CC33" s="6">
        <f t="shared" si="170"/>
        <v>-22.04</v>
      </c>
      <c r="CD33" s="6">
        <f t="shared" si="170"/>
        <v>-22.04</v>
      </c>
      <c r="CE33" s="6">
        <f t="shared" si="170"/>
        <v>-22.04</v>
      </c>
      <c r="CF33" s="6">
        <f t="shared" si="170"/>
        <v>-22.04</v>
      </c>
      <c r="CG33" s="6">
        <f t="shared" si="170"/>
        <v>-22.04</v>
      </c>
      <c r="CH33" s="6">
        <f t="shared" si="170"/>
        <v>-22.04</v>
      </c>
      <c r="CI33" s="6">
        <f t="shared" si="170"/>
        <v>-22.04</v>
      </c>
      <c r="CJ33" s="6">
        <f t="shared" si="170"/>
        <v>-22.04</v>
      </c>
      <c r="CK33" s="6">
        <f t="shared" si="170"/>
        <v>-22.04</v>
      </c>
      <c r="CL33" s="6">
        <f t="shared" si="170"/>
        <v>-22.04</v>
      </c>
      <c r="CM33" s="6">
        <f t="shared" si="170"/>
        <v>-22.04</v>
      </c>
      <c r="CN33" s="6">
        <f t="shared" si="170"/>
        <v>-22.04</v>
      </c>
      <c r="CO33" s="6">
        <f t="shared" ref="CO33:EZ33" si="171">CO25/2</f>
        <v>-22.04</v>
      </c>
      <c r="CP33" s="6">
        <f t="shared" si="171"/>
        <v>-22.04</v>
      </c>
      <c r="CQ33" s="6">
        <f t="shared" si="171"/>
        <v>-22.04</v>
      </c>
      <c r="CR33" s="6">
        <f t="shared" si="171"/>
        <v>-22.04</v>
      </c>
      <c r="CS33" s="6">
        <f t="shared" si="171"/>
        <v>-22.04</v>
      </c>
      <c r="CT33" s="6">
        <f t="shared" si="171"/>
        <v>-22.04</v>
      </c>
      <c r="CU33" s="6">
        <f t="shared" si="171"/>
        <v>-22.04</v>
      </c>
      <c r="CV33" s="6">
        <f t="shared" si="171"/>
        <v>-22.04</v>
      </c>
      <c r="CW33" s="6">
        <f t="shared" si="171"/>
        <v>-22.04</v>
      </c>
      <c r="CX33" s="6">
        <f t="shared" si="171"/>
        <v>-22.04</v>
      </c>
      <c r="CY33" s="6">
        <f t="shared" si="171"/>
        <v>-22.04</v>
      </c>
      <c r="CZ33" s="6">
        <f t="shared" si="171"/>
        <v>-22.04</v>
      </c>
      <c r="DA33" s="6">
        <f t="shared" si="171"/>
        <v>-22.04</v>
      </c>
      <c r="DB33" s="6">
        <f t="shared" si="171"/>
        <v>-22.04</v>
      </c>
      <c r="DC33" s="6">
        <f t="shared" si="171"/>
        <v>-22.04</v>
      </c>
      <c r="DD33" s="6">
        <f t="shared" si="171"/>
        <v>-22.04</v>
      </c>
      <c r="DE33" s="6">
        <f t="shared" si="171"/>
        <v>-22.04</v>
      </c>
      <c r="DF33" s="6">
        <f t="shared" si="171"/>
        <v>-22.04</v>
      </c>
      <c r="DG33" s="6">
        <f t="shared" si="171"/>
        <v>-22.04</v>
      </c>
      <c r="DH33" s="6">
        <f t="shared" si="171"/>
        <v>-22.04</v>
      </c>
      <c r="DI33" s="6">
        <f t="shared" si="171"/>
        <v>-22.04</v>
      </c>
      <c r="DJ33" s="6">
        <f t="shared" si="171"/>
        <v>-22.04</v>
      </c>
      <c r="DK33" s="6">
        <f t="shared" si="171"/>
        <v>-22.04</v>
      </c>
      <c r="DL33" s="6">
        <f t="shared" si="171"/>
        <v>-22.04</v>
      </c>
      <c r="DM33" s="6">
        <f t="shared" si="171"/>
        <v>-22.04</v>
      </c>
      <c r="DN33" s="6">
        <f t="shared" si="171"/>
        <v>-22.04</v>
      </c>
      <c r="DO33" s="6">
        <f t="shared" si="171"/>
        <v>-22.04</v>
      </c>
      <c r="DP33" s="6">
        <f t="shared" si="171"/>
        <v>-22.04</v>
      </c>
      <c r="DQ33" s="6">
        <f t="shared" si="171"/>
        <v>-22.04</v>
      </c>
      <c r="DR33" s="6">
        <f t="shared" si="171"/>
        <v>-22.04</v>
      </c>
      <c r="DS33" s="6">
        <f t="shared" si="171"/>
        <v>-22.04</v>
      </c>
      <c r="DT33" s="6">
        <f t="shared" si="171"/>
        <v>-22.04</v>
      </c>
      <c r="DU33" s="6">
        <f t="shared" si="171"/>
        <v>-22.04</v>
      </c>
      <c r="DV33" s="6">
        <f t="shared" si="171"/>
        <v>-22.04</v>
      </c>
      <c r="DW33" s="6">
        <f t="shared" si="171"/>
        <v>-22.04</v>
      </c>
      <c r="DX33" s="6">
        <f t="shared" si="171"/>
        <v>-22.04</v>
      </c>
      <c r="DY33" s="6">
        <f t="shared" si="171"/>
        <v>-22.04</v>
      </c>
      <c r="DZ33" s="6">
        <f t="shared" si="171"/>
        <v>-22.04</v>
      </c>
      <c r="EA33" s="6">
        <f t="shared" si="171"/>
        <v>-22.04</v>
      </c>
      <c r="EB33" s="6">
        <f t="shared" si="171"/>
        <v>-22.04</v>
      </c>
      <c r="EC33" s="6">
        <f t="shared" si="171"/>
        <v>-22.04</v>
      </c>
      <c r="ED33" s="6">
        <f t="shared" si="171"/>
        <v>-22.04</v>
      </c>
      <c r="EE33" s="6">
        <f t="shared" si="171"/>
        <v>-22.04</v>
      </c>
      <c r="EF33" s="6">
        <f t="shared" si="171"/>
        <v>-22.04</v>
      </c>
      <c r="EG33" s="6">
        <f t="shared" si="171"/>
        <v>-22.04</v>
      </c>
      <c r="EH33" s="6">
        <f t="shared" si="171"/>
        <v>-22.04</v>
      </c>
      <c r="EI33" s="6">
        <f t="shared" si="171"/>
        <v>-22.04</v>
      </c>
      <c r="EJ33" s="6">
        <f t="shared" si="171"/>
        <v>-22.04</v>
      </c>
      <c r="EK33" s="6">
        <f t="shared" si="171"/>
        <v>-22.04</v>
      </c>
      <c r="EL33" s="6">
        <f t="shared" si="171"/>
        <v>-22.04</v>
      </c>
      <c r="EM33" s="6">
        <f t="shared" si="171"/>
        <v>-22.04</v>
      </c>
      <c r="EN33" s="6">
        <f t="shared" si="171"/>
        <v>-22.04</v>
      </c>
      <c r="EO33" s="6">
        <f t="shared" si="171"/>
        <v>-22.04</v>
      </c>
      <c r="EP33" s="6">
        <f t="shared" si="171"/>
        <v>-22.04</v>
      </c>
      <c r="EQ33" s="6">
        <f t="shared" si="171"/>
        <v>-22.04</v>
      </c>
      <c r="ER33" s="6">
        <f t="shared" si="171"/>
        <v>-22.04</v>
      </c>
      <c r="ES33" s="6">
        <f t="shared" si="171"/>
        <v>-22.04</v>
      </c>
      <c r="ET33" s="6">
        <f t="shared" si="171"/>
        <v>-22.04</v>
      </c>
      <c r="EU33" s="6">
        <f t="shared" si="171"/>
        <v>-22.04</v>
      </c>
      <c r="EV33" s="6">
        <f t="shared" si="171"/>
        <v>-22.04</v>
      </c>
      <c r="EW33" s="6">
        <f t="shared" si="171"/>
        <v>-22.04</v>
      </c>
      <c r="EX33" s="6">
        <f t="shared" si="171"/>
        <v>-22.04</v>
      </c>
      <c r="EY33" s="6">
        <f t="shared" si="171"/>
        <v>-22.04</v>
      </c>
      <c r="EZ33" s="6">
        <f t="shared" si="171"/>
        <v>-22.04</v>
      </c>
      <c r="FA33" s="6">
        <f t="shared" ref="FA33:HL33" si="172">FA25/2</f>
        <v>-22.04</v>
      </c>
      <c r="FB33" s="6">
        <f t="shared" si="172"/>
        <v>-22.04</v>
      </c>
      <c r="FC33" s="6">
        <f t="shared" si="172"/>
        <v>-22.04</v>
      </c>
      <c r="FD33" s="6">
        <f t="shared" si="172"/>
        <v>-22.04</v>
      </c>
      <c r="FE33" s="6">
        <f t="shared" si="172"/>
        <v>-22.04</v>
      </c>
      <c r="FF33" s="6">
        <f t="shared" si="172"/>
        <v>-22.04</v>
      </c>
      <c r="FG33" s="6">
        <f t="shared" si="172"/>
        <v>-22.04</v>
      </c>
      <c r="FH33" s="6">
        <f t="shared" si="172"/>
        <v>-22.04</v>
      </c>
      <c r="FI33" s="6">
        <f t="shared" si="172"/>
        <v>-22.04</v>
      </c>
      <c r="FJ33" s="6">
        <f t="shared" si="172"/>
        <v>-22.04</v>
      </c>
      <c r="FK33" s="6">
        <f t="shared" si="172"/>
        <v>-22.04</v>
      </c>
      <c r="FL33" s="6">
        <f t="shared" si="172"/>
        <v>-22.04</v>
      </c>
      <c r="FM33" s="6">
        <f t="shared" si="172"/>
        <v>-22.04</v>
      </c>
      <c r="FN33" s="32">
        <f t="shared" si="172"/>
        <v>-22.04</v>
      </c>
      <c r="FO33" s="6">
        <f t="shared" si="172"/>
        <v>-22.04</v>
      </c>
      <c r="FP33" s="6">
        <f t="shared" si="172"/>
        <v>-22.04</v>
      </c>
      <c r="FQ33" s="6">
        <f t="shared" si="172"/>
        <v>-22.04</v>
      </c>
      <c r="FR33" s="6">
        <f t="shared" si="172"/>
        <v>-22.04</v>
      </c>
      <c r="FS33" s="6">
        <f t="shared" si="172"/>
        <v>-22.04</v>
      </c>
      <c r="FT33" s="6">
        <f t="shared" si="172"/>
        <v>-22.04</v>
      </c>
      <c r="FU33" s="6">
        <f t="shared" si="172"/>
        <v>-22.04</v>
      </c>
      <c r="FV33" s="6">
        <f t="shared" si="172"/>
        <v>-22.04</v>
      </c>
      <c r="FW33" s="6">
        <f t="shared" si="172"/>
        <v>-22.04</v>
      </c>
      <c r="FX33" s="6">
        <f t="shared" si="172"/>
        <v>-22.04</v>
      </c>
      <c r="FY33" s="6">
        <f t="shared" si="172"/>
        <v>-22.04</v>
      </c>
      <c r="FZ33" s="6">
        <f t="shared" si="172"/>
        <v>-22.04</v>
      </c>
      <c r="GA33" s="6">
        <f t="shared" si="172"/>
        <v>-22.04</v>
      </c>
      <c r="GB33" s="6">
        <f t="shared" si="172"/>
        <v>-22.04</v>
      </c>
      <c r="GC33" s="6">
        <f t="shared" si="172"/>
        <v>-22.04</v>
      </c>
      <c r="GD33" s="6">
        <f t="shared" si="172"/>
        <v>-22.04</v>
      </c>
      <c r="GE33" s="6">
        <f t="shared" si="172"/>
        <v>-22.04</v>
      </c>
      <c r="GF33" s="6">
        <f t="shared" si="172"/>
        <v>-22.04</v>
      </c>
      <c r="GG33" s="6">
        <f t="shared" si="172"/>
        <v>-22.04</v>
      </c>
      <c r="GH33" s="6">
        <f t="shared" si="172"/>
        <v>-22.04</v>
      </c>
      <c r="GI33" s="6">
        <f t="shared" si="172"/>
        <v>-22.04</v>
      </c>
      <c r="GJ33" s="6">
        <f t="shared" si="172"/>
        <v>-22.04</v>
      </c>
      <c r="GK33" s="6">
        <f t="shared" si="172"/>
        <v>-22.04</v>
      </c>
      <c r="GL33" s="6">
        <f t="shared" si="172"/>
        <v>-22.04</v>
      </c>
      <c r="GM33" s="6">
        <f t="shared" si="172"/>
        <v>-22.04</v>
      </c>
      <c r="GN33" s="6">
        <f t="shared" si="172"/>
        <v>-22.04</v>
      </c>
      <c r="GO33" s="6">
        <f t="shared" si="172"/>
        <v>-22.04</v>
      </c>
      <c r="GP33" s="6">
        <f t="shared" si="172"/>
        <v>-22.04</v>
      </c>
      <c r="GQ33" s="6">
        <f t="shared" si="172"/>
        <v>-22.04</v>
      </c>
      <c r="GR33" s="6">
        <f t="shared" si="172"/>
        <v>-22.04</v>
      </c>
      <c r="GS33" s="6">
        <f t="shared" si="172"/>
        <v>-22.04</v>
      </c>
      <c r="GT33" s="6">
        <f t="shared" si="172"/>
        <v>-22.04</v>
      </c>
      <c r="GU33" s="6">
        <f t="shared" si="172"/>
        <v>-22.04</v>
      </c>
      <c r="GV33" s="6">
        <f t="shared" si="172"/>
        <v>-22.04</v>
      </c>
      <c r="GW33" s="6">
        <f t="shared" si="172"/>
        <v>-22.04</v>
      </c>
      <c r="GX33" s="6">
        <f t="shared" si="172"/>
        <v>-22.04</v>
      </c>
      <c r="GY33" s="6">
        <f t="shared" si="172"/>
        <v>-22.04</v>
      </c>
      <c r="GZ33" s="6">
        <f t="shared" si="172"/>
        <v>-22.04</v>
      </c>
      <c r="HA33" s="6">
        <f t="shared" si="172"/>
        <v>-22.04</v>
      </c>
      <c r="HB33" s="6">
        <f t="shared" si="172"/>
        <v>-22.04</v>
      </c>
      <c r="HC33" s="6">
        <f t="shared" si="172"/>
        <v>-22.04</v>
      </c>
      <c r="HD33" s="6">
        <f t="shared" si="172"/>
        <v>-22.04</v>
      </c>
      <c r="HE33" s="6">
        <f t="shared" si="172"/>
        <v>-22.04</v>
      </c>
      <c r="HF33" s="6">
        <f t="shared" si="172"/>
        <v>-22.04</v>
      </c>
      <c r="HG33" s="6">
        <f t="shared" si="172"/>
        <v>-22.04</v>
      </c>
      <c r="HH33" s="6">
        <f t="shared" si="172"/>
        <v>-22.04</v>
      </c>
      <c r="HI33" s="6">
        <f t="shared" si="172"/>
        <v>-22.04</v>
      </c>
      <c r="HJ33" s="6">
        <f t="shared" si="172"/>
        <v>-22.04</v>
      </c>
      <c r="HK33" s="6">
        <f t="shared" si="172"/>
        <v>-22.04</v>
      </c>
      <c r="HL33" s="6">
        <f t="shared" si="172"/>
        <v>-22.04</v>
      </c>
      <c r="HM33" s="6">
        <f>HM25/2</f>
        <v>-22.04</v>
      </c>
      <c r="HN33" s="6">
        <f t="shared" ref="HN33:HY33" si="173">HN25/2</f>
        <v>-22.04</v>
      </c>
      <c r="HO33" s="6">
        <f t="shared" si="173"/>
        <v>-22.04</v>
      </c>
      <c r="HP33" s="6">
        <f t="shared" si="173"/>
        <v>-22.04</v>
      </c>
      <c r="HQ33" s="6">
        <f t="shared" si="173"/>
        <v>-22.04</v>
      </c>
      <c r="HR33" s="6">
        <f t="shared" si="173"/>
        <v>-22.04</v>
      </c>
      <c r="HS33" s="6">
        <f t="shared" si="173"/>
        <v>-22.04</v>
      </c>
      <c r="HT33" s="6">
        <f t="shared" si="173"/>
        <v>-22.04</v>
      </c>
      <c r="HU33" s="6">
        <f t="shared" si="173"/>
        <v>-22.04</v>
      </c>
      <c r="HV33" s="6">
        <f t="shared" si="173"/>
        <v>-22.04</v>
      </c>
      <c r="HW33" s="6">
        <f t="shared" si="173"/>
        <v>-22.04</v>
      </c>
      <c r="HX33" s="6">
        <f t="shared" si="173"/>
        <v>-22.04</v>
      </c>
      <c r="HY33" s="6">
        <f t="shared" si="173"/>
        <v>-22.04</v>
      </c>
    </row>
    <row r="34" spans="1:233" hidden="1" x14ac:dyDescent="0.5">
      <c r="A34" s="19" t="s">
        <v>29</v>
      </c>
      <c r="B34" s="7">
        <v>1.3443000000000001</v>
      </c>
      <c r="C34" s="6">
        <f t="shared" ref="C34:C38" si="174">C26/2</f>
        <v>0.21874640598044853</v>
      </c>
      <c r="D34" s="16"/>
      <c r="E34" s="16"/>
      <c r="F34" s="16"/>
      <c r="G34" s="16"/>
    </row>
    <row r="35" spans="1:233" hidden="1" x14ac:dyDescent="0.5">
      <c r="A35" s="19" t="s">
        <v>30</v>
      </c>
      <c r="B35" s="7">
        <v>0.42549999999999999</v>
      </c>
      <c r="C35" s="6">
        <f t="shared" si="174"/>
        <v>19.02</v>
      </c>
      <c r="D35" s="16"/>
      <c r="E35" s="16"/>
      <c r="F35" s="16"/>
      <c r="G35" s="16"/>
    </row>
    <row r="36" spans="1:233" hidden="1" x14ac:dyDescent="0.5">
      <c r="A36" s="19" t="s">
        <v>31</v>
      </c>
      <c r="B36" s="25">
        <v>0</v>
      </c>
      <c r="C36" s="6">
        <f t="shared" si="174"/>
        <v>35.534999999999997</v>
      </c>
      <c r="D36" s="16"/>
      <c r="E36" s="16"/>
      <c r="F36" s="16"/>
      <c r="G36" s="16"/>
    </row>
    <row r="37" spans="1:233" hidden="1" x14ac:dyDescent="0.5">
      <c r="A37" s="19" t="s">
        <v>32</v>
      </c>
      <c r="B37" s="25">
        <v>0</v>
      </c>
      <c r="C37" s="6">
        <f t="shared" si="174"/>
        <v>43.475000000000001</v>
      </c>
      <c r="D37" s="16"/>
      <c r="E37" s="16"/>
      <c r="F37" s="16"/>
      <c r="G37" s="16"/>
    </row>
    <row r="38" spans="1:233" hidden="1" x14ac:dyDescent="0.5">
      <c r="A38" s="19" t="s">
        <v>33</v>
      </c>
      <c r="B38" s="25">
        <v>0</v>
      </c>
      <c r="C38" s="6">
        <f t="shared" si="174"/>
        <v>3.5000000000000003E-2</v>
      </c>
      <c r="D38" s="16"/>
      <c r="E38" s="16"/>
      <c r="F38" s="16"/>
      <c r="G38" s="16"/>
    </row>
    <row r="39" spans="1:233" ht="19.8" x14ac:dyDescent="0.5">
      <c r="A39" s="1"/>
      <c r="B39" s="1"/>
    </row>
    <row r="40" spans="1:233" ht="24" customHeight="1" x14ac:dyDescent="0.5">
      <c r="A40" s="51" t="s">
        <v>36</v>
      </c>
      <c r="B40" s="20" t="str">
        <f t="shared" ref="B40:C40" si="175">IF(B6 &lt; B4, "✅ PE ต่ำกว่ากลุ่มเดียวกัน", "⚠️ PE สูงกว่ากลุ่มเดียวกัน")</f>
        <v>✅ PE ต่ำกว่ากลุ่มเดียวกัน</v>
      </c>
      <c r="C40" s="30" t="str">
        <f t="shared" si="175"/>
        <v>✅ PE ต่ำกว่ากลุ่มเดียวกัน</v>
      </c>
      <c r="D40" s="30" t="str">
        <f t="shared" ref="D40:AB40" si="176">IF(D6 &lt; D4, "✅ PE ต่ำกว่ากลุ่มเดียวกัน", "⚠️ PE สูงกว่ากลุ่มเดียวกัน")</f>
        <v>⚠️ PE สูงกว่ากลุ่มเดียวกัน</v>
      </c>
      <c r="E40" s="30" t="str">
        <f t="shared" si="176"/>
        <v>✅ PE ต่ำกว่ากลุ่มเดียวกัน</v>
      </c>
      <c r="F40" s="30" t="str">
        <f t="shared" si="176"/>
        <v>✅ PE ต่ำกว่ากลุ่มเดียวกัน</v>
      </c>
      <c r="G40" s="30" t="str">
        <f t="shared" si="176"/>
        <v>✅ PE ต่ำกว่ากลุ่มเดียวกัน</v>
      </c>
      <c r="H40" s="30" t="str">
        <f t="shared" si="176"/>
        <v>✅ PE ต่ำกว่ากลุ่มเดียวกัน</v>
      </c>
      <c r="I40" s="30" t="str">
        <f t="shared" si="176"/>
        <v>⚠️ PE สูงกว่ากลุ่มเดียวกัน</v>
      </c>
      <c r="J40" s="30" t="str">
        <f t="shared" si="176"/>
        <v>✅ PE ต่ำกว่ากลุ่มเดียวกัน</v>
      </c>
      <c r="K40" s="30" t="str">
        <f t="shared" si="176"/>
        <v>✅ PE ต่ำกว่ากลุ่มเดียวกัน</v>
      </c>
      <c r="L40" s="30" t="str">
        <f t="shared" si="176"/>
        <v>⚠️ PE สูงกว่ากลุ่มเดียวกัน</v>
      </c>
      <c r="M40" s="30" t="str">
        <f t="shared" si="176"/>
        <v>⚠️ PE สูงกว่ากลุ่มเดียวกัน</v>
      </c>
      <c r="N40" s="30" t="str">
        <f t="shared" si="176"/>
        <v>✅ PE ต่ำกว่ากลุ่มเดียวกัน</v>
      </c>
      <c r="O40" s="30" t="str">
        <f t="shared" si="176"/>
        <v>⚠️ PE สูงกว่ากลุ่มเดียวกัน</v>
      </c>
      <c r="P40" s="30" t="str">
        <f t="shared" si="176"/>
        <v>✅ PE ต่ำกว่ากลุ่มเดียวกัน</v>
      </c>
      <c r="Q40" s="30" t="str">
        <f t="shared" si="176"/>
        <v>⚠️ PE สูงกว่ากลุ่มเดียวกัน</v>
      </c>
      <c r="R40" s="30" t="str">
        <f t="shared" si="176"/>
        <v>⚠️ PE สูงกว่ากลุ่มเดียวกัน</v>
      </c>
      <c r="S40" s="30" t="str">
        <f t="shared" si="176"/>
        <v>⚠️ PE สูงกว่ากลุ่มเดียวกัน</v>
      </c>
      <c r="T40" s="30" t="str">
        <f t="shared" si="176"/>
        <v>✅ PE ต่ำกว่ากลุ่มเดียวกัน</v>
      </c>
      <c r="U40" s="30" t="str">
        <f t="shared" si="176"/>
        <v>✅ PE ต่ำกว่ากลุ่มเดียวกัน</v>
      </c>
      <c r="V40" s="30" t="str">
        <f t="shared" si="176"/>
        <v>✅ PE ต่ำกว่ากลุ่มเดียวกัน</v>
      </c>
      <c r="W40" s="30" t="str">
        <f t="shared" si="176"/>
        <v>✅ PE ต่ำกว่ากลุ่มเดียวกัน</v>
      </c>
      <c r="X40" s="30" t="str">
        <f t="shared" si="176"/>
        <v>⚠️ PE สูงกว่ากลุ่มเดียวกัน</v>
      </c>
      <c r="Y40" s="30" t="str">
        <f t="shared" si="176"/>
        <v>⚠️ PE สูงกว่ากลุ่มเดียวกัน</v>
      </c>
      <c r="Z40" s="30" t="str">
        <f t="shared" si="176"/>
        <v>⚠️ PE สูงกว่ากลุ่มเดียวกัน</v>
      </c>
      <c r="AA40" s="30" t="str">
        <f t="shared" si="176"/>
        <v>⚠️ PE สูงกว่ากลุ่มเดียวกัน</v>
      </c>
      <c r="AB40" s="30" t="str">
        <f t="shared" si="176"/>
        <v>✅ PE ต่ำกว่ากลุ่มเดียวกัน</v>
      </c>
      <c r="AC40" s="30" t="str">
        <f t="shared" ref="AC40:BE40" si="177">IF(AC6 &lt; AC4, "✅ PE ต่ำกว่ากลุ่มเดียวกัน", "⚠️ PE สูงกว่ากลุ่มเดียวกัน")</f>
        <v>✅ PE ต่ำกว่ากลุ่มเดียวกัน</v>
      </c>
      <c r="AD40" s="30" t="str">
        <f t="shared" si="177"/>
        <v>⚠️ PE สูงกว่ากลุ่มเดียวกัน</v>
      </c>
      <c r="AE40" s="30" t="str">
        <f t="shared" si="177"/>
        <v>⚠️ PE สูงกว่ากลุ่มเดียวกัน</v>
      </c>
      <c r="AF40" s="30" t="str">
        <f t="shared" si="177"/>
        <v>✅ PE ต่ำกว่ากลุ่มเดียวกัน</v>
      </c>
      <c r="AG40" s="30" t="str">
        <f t="shared" si="177"/>
        <v>⚠️ PE สูงกว่ากลุ่มเดียวกัน</v>
      </c>
      <c r="AH40" s="30" t="str">
        <f t="shared" si="177"/>
        <v>✅ PE ต่ำกว่ากลุ่มเดียวกัน</v>
      </c>
      <c r="AI40" s="30" t="str">
        <f t="shared" si="177"/>
        <v>⚠️ PE สูงกว่ากลุ่มเดียวกัน</v>
      </c>
      <c r="AJ40" s="30" t="str">
        <f t="shared" si="177"/>
        <v>✅ PE ต่ำกว่ากลุ่มเดียวกัน</v>
      </c>
      <c r="AK40" s="30" t="str">
        <f t="shared" si="177"/>
        <v>✅ PE ต่ำกว่ากลุ่มเดียวกัน</v>
      </c>
      <c r="AL40" s="30" t="str">
        <f t="shared" si="177"/>
        <v>⚠️ PE สูงกว่ากลุ่มเดียวกัน</v>
      </c>
      <c r="AM40" s="30" t="str">
        <f t="shared" si="177"/>
        <v>✅ PE ต่ำกว่ากลุ่มเดียวกัน</v>
      </c>
      <c r="AN40" s="30" t="str">
        <f t="shared" si="177"/>
        <v>✅ PE ต่ำกว่ากลุ่มเดียวกัน</v>
      </c>
      <c r="AO40" s="30" t="str">
        <f t="shared" si="177"/>
        <v>✅ PE ต่ำกว่ากลุ่มเดียวกัน</v>
      </c>
      <c r="AP40" s="30" t="str">
        <f t="shared" si="177"/>
        <v>✅ PE ต่ำกว่ากลุ่มเดียวกัน</v>
      </c>
      <c r="AQ40" s="30" t="str">
        <f t="shared" si="177"/>
        <v>✅ PE ต่ำกว่ากลุ่มเดียวกัน</v>
      </c>
      <c r="AR40" s="30" t="str">
        <f t="shared" si="177"/>
        <v>✅ PE ต่ำกว่ากลุ่มเดียวกัน</v>
      </c>
      <c r="AS40" s="30" t="str">
        <f t="shared" si="177"/>
        <v>⚠️ PE สูงกว่ากลุ่มเดียวกัน</v>
      </c>
      <c r="AT40" s="30" t="str">
        <f t="shared" si="177"/>
        <v>✅ PE ต่ำกว่ากลุ่มเดียวกัน</v>
      </c>
      <c r="AU40" s="30" t="str">
        <f t="shared" si="177"/>
        <v>✅ PE ต่ำกว่ากลุ่มเดียวกัน</v>
      </c>
      <c r="AV40" s="30" t="str">
        <f t="shared" si="177"/>
        <v>⚠️ PE สูงกว่ากลุ่มเดียวกัน</v>
      </c>
      <c r="AW40" s="30" t="str">
        <f t="shared" si="177"/>
        <v>✅ PE ต่ำกว่ากลุ่มเดียวกัน</v>
      </c>
      <c r="AX40" s="30" t="str">
        <f t="shared" si="177"/>
        <v>✅ PE ต่ำกว่ากลุ่มเดียวกัน</v>
      </c>
      <c r="AY40" s="30" t="str">
        <f t="shared" si="177"/>
        <v>✅ PE ต่ำกว่ากลุ่มเดียวกัน</v>
      </c>
      <c r="AZ40" s="30" t="str">
        <f t="shared" si="177"/>
        <v>✅ PE ต่ำกว่ากลุ่มเดียวกัน</v>
      </c>
      <c r="BA40" s="30" t="str">
        <f t="shared" si="177"/>
        <v>⚠️ PE สูงกว่ากลุ่มเดียวกัน</v>
      </c>
      <c r="BB40" s="30" t="str">
        <f t="shared" si="177"/>
        <v>✅ PE ต่ำกว่ากลุ่มเดียวกัน</v>
      </c>
      <c r="BC40" s="30" t="str">
        <f t="shared" si="177"/>
        <v>✅ PE ต่ำกว่ากลุ่มเดียวกัน</v>
      </c>
      <c r="BD40" s="30" t="str">
        <f t="shared" si="177"/>
        <v>✅ PE ต่ำกว่ากลุ่มเดียวกัน</v>
      </c>
      <c r="BE40" s="30" t="str">
        <f t="shared" si="177"/>
        <v>✅ PE ต่ำกว่ากลุ่มเดียวกัน</v>
      </c>
      <c r="BF40" s="30" t="str">
        <f t="shared" ref="BF40:BK40" si="178">IF(BF6 &lt; BF4, "✅ PE ต่ำกว่ากลุ่มเดียวกัน", "⚠️ PE สูงกว่ากลุ่มเดียวกัน")</f>
        <v>✅ PE ต่ำกว่ากลุ่มเดียวกัน</v>
      </c>
      <c r="BG40" s="30" t="str">
        <f t="shared" si="178"/>
        <v>✅ PE ต่ำกว่ากลุ่มเดียวกัน</v>
      </c>
      <c r="BH40" s="30" t="str">
        <f t="shared" si="178"/>
        <v>⚠️ PE สูงกว่ากลุ่มเดียวกัน</v>
      </c>
      <c r="BI40" s="30" t="str">
        <f t="shared" si="178"/>
        <v>✅ PE ต่ำกว่ากลุ่มเดียวกัน</v>
      </c>
      <c r="BJ40" s="30" t="str">
        <f t="shared" si="178"/>
        <v>⚠️ PE สูงกว่ากลุ่มเดียวกัน</v>
      </c>
      <c r="BK40" s="30" t="str">
        <f t="shared" si="178"/>
        <v>✅ PE ต่ำกว่ากลุ่มเดียวกัน</v>
      </c>
      <c r="BL40" s="30" t="str">
        <f t="shared" ref="BL40:DW40" si="179">IF(BL6 &lt; BL4, "✅ PE ต่ำกว่ากลุ่มเดียวกัน", "⚠️ PE สูงกว่ากลุ่มเดียวกัน")</f>
        <v>✅ PE ต่ำกว่ากลุ่มเดียวกัน</v>
      </c>
      <c r="BM40" s="30" t="str">
        <f t="shared" si="179"/>
        <v>⚠️ PE สูงกว่ากลุ่มเดียวกัน</v>
      </c>
      <c r="BN40" s="30" t="str">
        <f t="shared" si="179"/>
        <v>✅ PE ต่ำกว่ากลุ่มเดียวกัน</v>
      </c>
      <c r="BO40" s="30" t="str">
        <f t="shared" si="179"/>
        <v>✅ PE ต่ำกว่ากลุ่มเดียวกัน</v>
      </c>
      <c r="BP40" s="30" t="str">
        <f t="shared" si="179"/>
        <v>✅ PE ต่ำกว่ากลุ่มเดียวกัน</v>
      </c>
      <c r="BQ40" s="30" t="str">
        <f t="shared" si="179"/>
        <v>✅ PE ต่ำกว่ากลุ่มเดียวกัน</v>
      </c>
      <c r="BR40" s="30" t="str">
        <f t="shared" si="179"/>
        <v>✅ PE ต่ำกว่ากลุ่มเดียวกัน</v>
      </c>
      <c r="BS40" s="30" t="str">
        <f t="shared" si="179"/>
        <v>⚠️ PE สูงกว่ากลุ่มเดียวกัน</v>
      </c>
      <c r="BT40" s="30" t="str">
        <f t="shared" si="179"/>
        <v>⚠️ PE สูงกว่ากลุ่มเดียวกัน</v>
      </c>
      <c r="BU40" s="30" t="str">
        <f t="shared" si="179"/>
        <v>✅ PE ต่ำกว่ากลุ่มเดียวกัน</v>
      </c>
      <c r="BV40" s="30" t="str">
        <f t="shared" si="179"/>
        <v>✅ PE ต่ำกว่ากลุ่มเดียวกัน</v>
      </c>
      <c r="BW40" s="30" t="str">
        <f t="shared" si="179"/>
        <v>⚠️ PE สูงกว่ากลุ่มเดียวกัน</v>
      </c>
      <c r="BX40" s="30" t="str">
        <f t="shared" si="179"/>
        <v>⚠️ PE สูงกว่ากลุ่มเดียวกัน</v>
      </c>
      <c r="BY40" s="30" t="str">
        <f t="shared" si="179"/>
        <v>✅ PE ต่ำกว่ากลุ่มเดียวกัน</v>
      </c>
      <c r="BZ40" s="30" t="str">
        <f t="shared" si="179"/>
        <v>✅ PE ต่ำกว่ากลุ่มเดียวกัน</v>
      </c>
      <c r="CA40" s="30" t="str">
        <f t="shared" si="179"/>
        <v>✅ PE ต่ำกว่ากลุ่มเดียวกัน</v>
      </c>
      <c r="CB40" s="30" t="str">
        <f t="shared" si="179"/>
        <v>✅ PE ต่ำกว่ากลุ่มเดียวกัน</v>
      </c>
      <c r="CC40" s="30" t="str">
        <f t="shared" si="179"/>
        <v>✅ PE ต่ำกว่ากลุ่มเดียวกัน</v>
      </c>
      <c r="CD40" s="30" t="str">
        <f t="shared" si="179"/>
        <v>⚠️ PE สูงกว่ากลุ่มเดียวกัน</v>
      </c>
      <c r="CE40" s="30" t="str">
        <f t="shared" si="179"/>
        <v>✅ PE ต่ำกว่ากลุ่มเดียวกัน</v>
      </c>
      <c r="CF40" s="30" t="str">
        <f t="shared" si="179"/>
        <v>✅ PE ต่ำกว่ากลุ่มเดียวกัน</v>
      </c>
      <c r="CG40" s="30" t="str">
        <f t="shared" si="179"/>
        <v>⚠️ PE สูงกว่ากลุ่มเดียวกัน</v>
      </c>
      <c r="CH40" s="30" t="str">
        <f t="shared" si="179"/>
        <v>✅ PE ต่ำกว่ากลุ่มเดียวกัน</v>
      </c>
      <c r="CI40" s="30" t="str">
        <f t="shared" si="179"/>
        <v>✅ PE ต่ำกว่ากลุ่มเดียวกัน</v>
      </c>
      <c r="CJ40" s="30" t="str">
        <f t="shared" si="179"/>
        <v>✅ PE ต่ำกว่ากลุ่มเดียวกัน</v>
      </c>
      <c r="CK40" s="30" t="str">
        <f t="shared" si="179"/>
        <v>✅ PE ต่ำกว่ากลุ่มเดียวกัน</v>
      </c>
      <c r="CL40" s="30" t="str">
        <f t="shared" si="179"/>
        <v>✅ PE ต่ำกว่ากลุ่มเดียวกัน</v>
      </c>
      <c r="CM40" s="30" t="str">
        <f t="shared" si="179"/>
        <v>⚠️ PE สูงกว่ากลุ่มเดียวกัน</v>
      </c>
      <c r="CN40" s="30" t="str">
        <f t="shared" si="179"/>
        <v>✅ PE ต่ำกว่ากลุ่มเดียวกัน</v>
      </c>
      <c r="CO40" s="30" t="str">
        <f t="shared" si="179"/>
        <v>✅ PE ต่ำกว่ากลุ่มเดียวกัน</v>
      </c>
      <c r="CP40" s="30" t="str">
        <f t="shared" si="179"/>
        <v>✅ PE ต่ำกว่ากลุ่มเดียวกัน</v>
      </c>
      <c r="CQ40" s="30" t="str">
        <f t="shared" si="179"/>
        <v>⚠️ PE สูงกว่ากลุ่มเดียวกัน</v>
      </c>
      <c r="CR40" s="30" t="str">
        <f t="shared" si="179"/>
        <v>✅ PE ต่ำกว่ากลุ่มเดียวกัน</v>
      </c>
      <c r="CS40" s="30" t="str">
        <f t="shared" si="179"/>
        <v>⚠️ PE สูงกว่ากลุ่มเดียวกัน</v>
      </c>
      <c r="CT40" s="30" t="str">
        <f t="shared" si="179"/>
        <v>✅ PE ต่ำกว่ากลุ่มเดียวกัน</v>
      </c>
      <c r="CU40" s="30" t="str">
        <f t="shared" si="179"/>
        <v>✅ PE ต่ำกว่ากลุ่มเดียวกัน</v>
      </c>
      <c r="CV40" s="30" t="str">
        <f t="shared" si="179"/>
        <v>✅ PE ต่ำกว่ากลุ่มเดียวกัน</v>
      </c>
      <c r="CW40" s="30" t="str">
        <f t="shared" si="179"/>
        <v>✅ PE ต่ำกว่ากลุ่มเดียวกัน</v>
      </c>
      <c r="CX40" s="30" t="str">
        <f t="shared" si="179"/>
        <v>✅ PE ต่ำกว่ากลุ่มเดียวกัน</v>
      </c>
      <c r="CY40" s="30" t="str">
        <f t="shared" si="179"/>
        <v>✅ PE ต่ำกว่ากลุ่มเดียวกัน</v>
      </c>
      <c r="CZ40" s="30" t="str">
        <f t="shared" si="179"/>
        <v>✅ PE ต่ำกว่ากลุ่มเดียวกัน</v>
      </c>
      <c r="DA40" s="30" t="str">
        <f t="shared" si="179"/>
        <v>✅ PE ต่ำกว่ากลุ่มเดียวกัน</v>
      </c>
      <c r="DB40" s="30" t="str">
        <f t="shared" si="179"/>
        <v>✅ PE ต่ำกว่ากลุ่มเดียวกัน</v>
      </c>
      <c r="DC40" s="30" t="str">
        <f t="shared" si="179"/>
        <v>✅ PE ต่ำกว่ากลุ่มเดียวกัน</v>
      </c>
      <c r="DD40" s="30" t="str">
        <f t="shared" si="179"/>
        <v>⚠️ PE สูงกว่ากลุ่มเดียวกัน</v>
      </c>
      <c r="DE40" s="30" t="str">
        <f t="shared" si="179"/>
        <v>⚠️ PE สูงกว่ากลุ่มเดียวกัน</v>
      </c>
      <c r="DF40" s="30" t="str">
        <f t="shared" si="179"/>
        <v>⚠️ PE สูงกว่ากลุ่มเดียวกัน</v>
      </c>
      <c r="DG40" s="30" t="str">
        <f t="shared" si="179"/>
        <v>⚠️ PE สูงกว่ากลุ่มเดียวกัน</v>
      </c>
      <c r="DH40" s="30" t="str">
        <f t="shared" si="179"/>
        <v>✅ PE ต่ำกว่ากลุ่มเดียวกัน</v>
      </c>
      <c r="DI40" s="30" t="str">
        <f t="shared" si="179"/>
        <v>⚠️ PE สูงกว่ากลุ่มเดียวกัน</v>
      </c>
      <c r="DJ40" s="30" t="str">
        <f t="shared" si="179"/>
        <v>✅ PE ต่ำกว่ากลุ่มเดียวกัน</v>
      </c>
      <c r="DK40" s="30" t="str">
        <f t="shared" si="179"/>
        <v>✅ PE ต่ำกว่ากลุ่มเดียวกัน</v>
      </c>
      <c r="DL40" s="30" t="str">
        <f t="shared" si="179"/>
        <v>✅ PE ต่ำกว่ากลุ่มเดียวกัน</v>
      </c>
      <c r="DM40" s="30" t="str">
        <f t="shared" si="179"/>
        <v>✅ PE ต่ำกว่ากลุ่มเดียวกัน</v>
      </c>
      <c r="DN40" s="30" t="str">
        <f t="shared" si="179"/>
        <v>✅ PE ต่ำกว่ากลุ่มเดียวกัน</v>
      </c>
      <c r="DO40" s="30" t="str">
        <f t="shared" si="179"/>
        <v>✅ PE ต่ำกว่ากลุ่มเดียวกัน</v>
      </c>
      <c r="DP40" s="30" t="str">
        <f t="shared" si="179"/>
        <v>✅ PE ต่ำกว่ากลุ่มเดียวกัน</v>
      </c>
      <c r="DQ40" s="30" t="str">
        <f t="shared" si="179"/>
        <v>✅ PE ต่ำกว่ากลุ่มเดียวกัน</v>
      </c>
      <c r="DR40" s="30" t="str">
        <f t="shared" si="179"/>
        <v>✅ PE ต่ำกว่ากลุ่มเดียวกัน</v>
      </c>
      <c r="DS40" s="30" t="str">
        <f t="shared" si="179"/>
        <v>⚠️ PE สูงกว่ากลุ่มเดียวกัน</v>
      </c>
      <c r="DT40" s="30" t="str">
        <f t="shared" si="179"/>
        <v>⚠️ PE สูงกว่ากลุ่มเดียวกัน</v>
      </c>
      <c r="DU40" s="30" t="str">
        <f t="shared" si="179"/>
        <v>⚠️ PE สูงกว่ากลุ่มเดียวกัน</v>
      </c>
      <c r="DV40" s="30" t="str">
        <f t="shared" si="179"/>
        <v>✅ PE ต่ำกว่ากลุ่มเดียวกัน</v>
      </c>
      <c r="DW40" s="30" t="str">
        <f t="shared" si="179"/>
        <v>✅ PE ต่ำกว่ากลุ่มเดียวกัน</v>
      </c>
      <c r="DX40" s="30" t="str">
        <f t="shared" ref="DX40:FA40" si="180">IF(DX6 &lt; DX4, "✅ PE ต่ำกว่ากลุ่มเดียวกัน", "⚠️ PE สูงกว่ากลุ่มเดียวกัน")</f>
        <v>✅ PE ต่ำกว่ากลุ่มเดียวกัน</v>
      </c>
      <c r="DY40" s="30" t="str">
        <f t="shared" si="180"/>
        <v>⚠️ PE สูงกว่ากลุ่มเดียวกัน</v>
      </c>
      <c r="DZ40" s="30" t="str">
        <f t="shared" si="180"/>
        <v>✅ PE ต่ำกว่ากลุ่มเดียวกัน</v>
      </c>
      <c r="EA40" s="30" t="str">
        <f t="shared" si="180"/>
        <v>✅ PE ต่ำกว่ากลุ่มเดียวกัน</v>
      </c>
      <c r="EB40" s="30" t="str">
        <f t="shared" si="180"/>
        <v>✅ PE ต่ำกว่ากลุ่มเดียวกัน</v>
      </c>
      <c r="EC40" s="30" t="str">
        <f t="shared" si="180"/>
        <v>✅ PE ต่ำกว่ากลุ่มเดียวกัน</v>
      </c>
      <c r="ED40" s="30" t="str">
        <f t="shared" si="180"/>
        <v>✅ PE ต่ำกว่ากลุ่มเดียวกัน</v>
      </c>
      <c r="EE40" s="30" t="str">
        <f t="shared" si="180"/>
        <v>⚠️ PE สูงกว่ากลุ่มเดียวกัน</v>
      </c>
      <c r="EF40" s="30" t="str">
        <f t="shared" si="180"/>
        <v>✅ PE ต่ำกว่ากลุ่มเดียวกัน</v>
      </c>
      <c r="EG40" s="30" t="str">
        <f t="shared" si="180"/>
        <v>✅ PE ต่ำกว่ากลุ่มเดียวกัน</v>
      </c>
      <c r="EH40" s="30" t="str">
        <f t="shared" si="180"/>
        <v>✅ PE ต่ำกว่ากลุ่มเดียวกัน</v>
      </c>
      <c r="EI40" s="30" t="str">
        <f t="shared" si="180"/>
        <v>✅ PE ต่ำกว่ากลุ่มเดียวกัน</v>
      </c>
      <c r="EJ40" s="30" t="str">
        <f t="shared" si="180"/>
        <v>✅ PE ต่ำกว่ากลุ่มเดียวกัน</v>
      </c>
      <c r="EK40" s="30" t="str">
        <f t="shared" si="180"/>
        <v>✅ PE ต่ำกว่ากลุ่มเดียวกัน</v>
      </c>
      <c r="EL40" s="30" t="str">
        <f t="shared" si="180"/>
        <v>✅ PE ต่ำกว่ากลุ่มเดียวกัน</v>
      </c>
      <c r="EM40" s="30" t="str">
        <f t="shared" si="180"/>
        <v>✅ PE ต่ำกว่ากลุ่มเดียวกัน</v>
      </c>
      <c r="EN40" s="30" t="str">
        <f t="shared" si="180"/>
        <v>✅ PE ต่ำกว่ากลุ่มเดียวกัน</v>
      </c>
      <c r="EO40" s="44" t="str">
        <f t="shared" si="180"/>
        <v>✅ PE ต่ำกว่ากลุ่มเดียวกัน</v>
      </c>
      <c r="EZ40" s="41" t="str">
        <f t="shared" si="180"/>
        <v>✅ PE ต่ำกว่ากลุ่มเดียวกัน</v>
      </c>
      <c r="FA40" s="30" t="str">
        <f t="shared" si="180"/>
        <v>✅ PE ต่ำกว่ากลุ่มเดียวกัน</v>
      </c>
      <c r="FB40" s="30" t="str">
        <f t="shared" ref="FB40:HM40" si="181">IF(FB6 &lt; FB4, "✅ PE ต่ำกว่ากลุ่มเดียวกัน", "⚠️ PE สูงกว่ากลุ่มเดียวกัน")</f>
        <v>✅ PE ต่ำกว่ากลุ่มเดียวกัน</v>
      </c>
      <c r="FC40" s="30" t="str">
        <f t="shared" si="181"/>
        <v>✅ PE ต่ำกว่ากลุ่มเดียวกัน</v>
      </c>
      <c r="FD40" s="30" t="str">
        <f t="shared" si="181"/>
        <v>✅ PE ต่ำกว่ากลุ่มเดียวกัน</v>
      </c>
      <c r="FE40" s="30" t="str">
        <f t="shared" si="181"/>
        <v>✅ PE ต่ำกว่ากลุ่มเดียวกัน</v>
      </c>
      <c r="FF40" s="30" t="str">
        <f t="shared" si="181"/>
        <v>⚠️ PE สูงกว่ากลุ่มเดียวกัน</v>
      </c>
      <c r="FG40" s="30" t="str">
        <f t="shared" si="181"/>
        <v>✅ PE ต่ำกว่ากลุ่มเดียวกัน</v>
      </c>
      <c r="FH40" s="30" t="str">
        <f t="shared" si="181"/>
        <v>✅ PE ต่ำกว่ากลุ่มเดียวกัน</v>
      </c>
      <c r="FI40" s="30" t="str">
        <f t="shared" si="181"/>
        <v>⚠️ PE สูงกว่ากลุ่มเดียวกัน</v>
      </c>
      <c r="FJ40" s="30" t="str">
        <f t="shared" si="181"/>
        <v>✅ PE ต่ำกว่ากลุ่มเดียวกัน</v>
      </c>
      <c r="FK40" s="30" t="str">
        <f t="shared" si="181"/>
        <v>✅ PE ต่ำกว่ากลุ่มเดียวกัน</v>
      </c>
      <c r="FL40" s="30" t="str">
        <f t="shared" si="181"/>
        <v>✅ PE ต่ำกว่ากลุ่มเดียวกัน</v>
      </c>
      <c r="FM40" s="30" t="str">
        <f t="shared" si="181"/>
        <v>⚠️ PE สูงกว่ากลุ่มเดียวกัน</v>
      </c>
      <c r="FN40" s="30" t="str">
        <f t="shared" si="181"/>
        <v>✅ PE ต่ำกว่ากลุ่มเดียวกัน</v>
      </c>
      <c r="FO40" s="30" t="str">
        <f t="shared" si="181"/>
        <v>✅ PE ต่ำกว่ากลุ่มเดียวกัน</v>
      </c>
      <c r="FP40" s="30" t="str">
        <f t="shared" si="181"/>
        <v>✅ PE ต่ำกว่ากลุ่มเดียวกัน</v>
      </c>
      <c r="FQ40" s="30" t="str">
        <f t="shared" si="181"/>
        <v>⚠️ PE สูงกว่ากลุ่มเดียวกัน</v>
      </c>
      <c r="FR40" s="30" t="str">
        <f t="shared" si="181"/>
        <v>⚠️ PE สูงกว่ากลุ่มเดียวกัน</v>
      </c>
      <c r="FS40" s="30" t="str">
        <f t="shared" si="181"/>
        <v>✅ PE ต่ำกว่ากลุ่มเดียวกัน</v>
      </c>
      <c r="FT40" s="30" t="str">
        <f t="shared" si="181"/>
        <v>⚠️ PE สูงกว่ากลุ่มเดียวกัน</v>
      </c>
      <c r="FU40" s="30" t="str">
        <f t="shared" si="181"/>
        <v>⚠️ PE สูงกว่ากลุ่มเดียวกัน</v>
      </c>
      <c r="FV40" s="30" t="str">
        <f t="shared" si="181"/>
        <v>⚠️ PE สูงกว่ากลุ่มเดียวกัน</v>
      </c>
      <c r="FW40" s="30" t="str">
        <f t="shared" si="181"/>
        <v>✅ PE ต่ำกว่ากลุ่มเดียวกัน</v>
      </c>
      <c r="FX40" s="30" t="str">
        <f t="shared" si="181"/>
        <v>⚠️ PE สูงกว่ากลุ่มเดียวกัน</v>
      </c>
      <c r="FY40" s="30" t="str">
        <f t="shared" si="181"/>
        <v>✅ PE ต่ำกว่ากลุ่มเดียวกัน</v>
      </c>
      <c r="FZ40" s="30" t="str">
        <f t="shared" si="181"/>
        <v>⚠️ PE สูงกว่ากลุ่มเดียวกัน</v>
      </c>
      <c r="GA40" s="30" t="str">
        <f t="shared" si="181"/>
        <v>⚠️ PE สูงกว่ากลุ่มเดียวกัน</v>
      </c>
      <c r="GB40" s="30" t="str">
        <f t="shared" si="181"/>
        <v>⚠️ PE สูงกว่ากลุ่มเดียวกัน</v>
      </c>
      <c r="GC40" s="30" t="str">
        <f t="shared" si="181"/>
        <v>⚠️ PE สูงกว่ากลุ่มเดียวกัน</v>
      </c>
      <c r="GD40" s="30" t="str">
        <f t="shared" si="181"/>
        <v>✅ PE ต่ำกว่ากลุ่มเดียวกัน</v>
      </c>
      <c r="GE40" s="30" t="str">
        <f t="shared" si="181"/>
        <v>⚠️ PE สูงกว่ากลุ่มเดียวกัน</v>
      </c>
      <c r="GF40" s="30" t="str">
        <f t="shared" si="181"/>
        <v>⚠️ PE สูงกว่ากลุ่มเดียวกัน</v>
      </c>
      <c r="GG40" s="30" t="str">
        <f t="shared" si="181"/>
        <v>⚠️ PE สูงกว่ากลุ่มเดียวกัน</v>
      </c>
      <c r="GH40" s="30" t="str">
        <f t="shared" si="181"/>
        <v>✅ PE ต่ำกว่ากลุ่มเดียวกัน</v>
      </c>
      <c r="GI40" s="30" t="str">
        <f t="shared" si="181"/>
        <v>⚠️ PE สูงกว่ากลุ่มเดียวกัน</v>
      </c>
      <c r="GJ40" s="30" t="str">
        <f t="shared" si="181"/>
        <v>✅ PE ต่ำกว่ากลุ่มเดียวกัน</v>
      </c>
      <c r="GK40" s="30" t="str">
        <f t="shared" si="181"/>
        <v>⚠️ PE สูงกว่ากลุ่มเดียวกัน</v>
      </c>
      <c r="GL40" s="30" t="str">
        <f t="shared" si="181"/>
        <v>✅ PE ต่ำกว่ากลุ่มเดียวกัน</v>
      </c>
      <c r="GM40" s="30" t="str">
        <f t="shared" si="181"/>
        <v>✅ PE ต่ำกว่ากลุ่มเดียวกัน</v>
      </c>
      <c r="GN40" s="30" t="str">
        <f t="shared" si="181"/>
        <v>✅ PE ต่ำกว่ากลุ่มเดียวกัน</v>
      </c>
      <c r="GO40" s="30" t="str">
        <f t="shared" si="181"/>
        <v>⚠️ PE สูงกว่ากลุ่มเดียวกัน</v>
      </c>
      <c r="GP40" s="30" t="str">
        <f t="shared" si="181"/>
        <v>⚠️ PE สูงกว่ากลุ่มเดียวกัน</v>
      </c>
      <c r="GQ40" s="30" t="str">
        <f t="shared" si="181"/>
        <v>⚠️ PE สูงกว่ากลุ่มเดียวกัน</v>
      </c>
      <c r="GR40" s="30" t="str">
        <f t="shared" si="181"/>
        <v>✅ PE ต่ำกว่ากลุ่มเดียวกัน</v>
      </c>
      <c r="GS40" s="30" t="str">
        <f t="shared" si="181"/>
        <v>✅ PE ต่ำกว่ากลุ่มเดียวกัน</v>
      </c>
      <c r="GT40" s="30" t="str">
        <f t="shared" si="181"/>
        <v>⚠️ PE สูงกว่ากลุ่มเดียวกัน</v>
      </c>
      <c r="GU40" s="30" t="str">
        <f t="shared" si="181"/>
        <v>⚠️ PE สูงกว่ากลุ่มเดียวกัน</v>
      </c>
      <c r="GV40" s="30" t="str">
        <f t="shared" si="181"/>
        <v>⚠️ PE สูงกว่ากลุ่มเดียวกัน</v>
      </c>
      <c r="GW40" s="30" t="str">
        <f t="shared" si="181"/>
        <v>⚠️ PE สูงกว่ากลุ่มเดียวกัน</v>
      </c>
      <c r="GX40" s="30" t="str">
        <f t="shared" si="181"/>
        <v>⚠️ PE สูงกว่ากลุ่มเดียวกัน</v>
      </c>
      <c r="GY40" s="30" t="str">
        <f t="shared" si="181"/>
        <v>⚠️ PE สูงกว่ากลุ่มเดียวกัน</v>
      </c>
      <c r="GZ40" s="30" t="str">
        <f t="shared" si="181"/>
        <v>⚠️ PE สูงกว่ากลุ่มเดียวกัน</v>
      </c>
      <c r="HA40" s="30" t="str">
        <f t="shared" si="181"/>
        <v>⚠️ PE สูงกว่ากลุ่มเดียวกัน</v>
      </c>
      <c r="HB40" s="30" t="str">
        <f t="shared" si="181"/>
        <v>⚠️ PE สูงกว่ากลุ่มเดียวกัน</v>
      </c>
      <c r="HC40" s="30" t="str">
        <f t="shared" si="181"/>
        <v>✅ PE ต่ำกว่ากลุ่มเดียวกัน</v>
      </c>
      <c r="HD40" s="30" t="str">
        <f t="shared" si="181"/>
        <v>⚠️ PE สูงกว่ากลุ่มเดียวกัน</v>
      </c>
      <c r="HE40" s="30" t="str">
        <f t="shared" si="181"/>
        <v>✅ PE ต่ำกว่ากลุ่มเดียวกัน</v>
      </c>
      <c r="HF40" s="30" t="str">
        <f t="shared" si="181"/>
        <v>✅ PE ต่ำกว่ากลุ่มเดียวกัน</v>
      </c>
      <c r="HG40" s="30" t="str">
        <f t="shared" si="181"/>
        <v>⚠️ PE สูงกว่ากลุ่มเดียวกัน</v>
      </c>
      <c r="HH40" s="30" t="str">
        <f t="shared" si="181"/>
        <v>✅ PE ต่ำกว่ากลุ่มเดียวกัน</v>
      </c>
      <c r="HI40" s="30" t="str">
        <f t="shared" si="181"/>
        <v>✅ PE ต่ำกว่ากลุ่มเดียวกัน</v>
      </c>
      <c r="HJ40" s="30" t="str">
        <f t="shared" si="181"/>
        <v>⚠️ PE สูงกว่ากลุ่มเดียวกัน</v>
      </c>
      <c r="HK40" s="30" t="str">
        <f t="shared" si="181"/>
        <v>⚠️ PE สูงกว่ากลุ่มเดียวกัน</v>
      </c>
      <c r="HL40" s="30" t="str">
        <f t="shared" si="181"/>
        <v>⚠️ PE สูงกว่ากลุ่มเดียวกัน</v>
      </c>
      <c r="HM40" s="30" t="str">
        <f t="shared" si="181"/>
        <v>✅ PE ต่ำกว่ากลุ่มเดียวกัน</v>
      </c>
      <c r="HN40" s="30" t="str">
        <f t="shared" ref="HN40:HV40" si="182">IF(HN6 &lt; HN4, "✅ PE ต่ำกว่ากลุ่มเดียวกัน", "⚠️ PE สูงกว่ากลุ่มเดียวกัน")</f>
        <v>✅ PE ต่ำกว่ากลุ่มเดียวกัน</v>
      </c>
      <c r="HO40" s="30" t="str">
        <f t="shared" si="182"/>
        <v>✅ PE ต่ำกว่ากลุ่มเดียวกัน</v>
      </c>
      <c r="HP40" s="30" t="str">
        <f t="shared" si="182"/>
        <v>✅ PE ต่ำกว่ากลุ่มเดียวกัน</v>
      </c>
      <c r="HQ40" s="30" t="str">
        <f t="shared" si="182"/>
        <v>✅ PE ต่ำกว่ากลุ่มเดียวกัน</v>
      </c>
      <c r="HR40" s="30" t="str">
        <f t="shared" si="182"/>
        <v>✅ PE ต่ำกว่ากลุ่มเดียวกัน</v>
      </c>
      <c r="HS40" s="30" t="str">
        <f t="shared" si="182"/>
        <v>✅ PE ต่ำกว่ากลุ่มเดียวกัน</v>
      </c>
      <c r="HT40" s="30" t="str">
        <f t="shared" si="182"/>
        <v>✅ PE ต่ำกว่ากลุ่มเดียวกัน</v>
      </c>
      <c r="HU40" s="30" t="str">
        <f t="shared" si="182"/>
        <v>✅ PE ต่ำกว่ากลุ่มเดียวกัน</v>
      </c>
      <c r="HV40" s="21" t="str">
        <f t="shared" si="182"/>
        <v>⚠️ PE สูงกว่ากลุ่มเดียวกัน</v>
      </c>
      <c r="HW40" s="30" t="str">
        <f t="shared" ref="HW40:HX40" si="183">IF(HW6 &lt; HW4, "✅ PE ต่ำกว่ากลุ่มเดียวกัน", "⚠️ PE สูงกว่ากลุ่มเดียวกัน")</f>
        <v>✅ PE ต่ำกว่ากลุ่มเดียวกัน</v>
      </c>
      <c r="HX40" s="30" t="str">
        <f t="shared" ref="HX40:HY40" si="184">IF(HX6 &lt; HX4, "✅ PE ต่ำกว่ากลุ่มเดียวกัน", "⚠️ PE สูงกว่ากลุ่มเดียวกัน")</f>
        <v>✅ PE ต่ำกว่ากลุ่มเดียวกัน</v>
      </c>
      <c r="HY40" s="30" t="str">
        <f t="shared" si="184"/>
        <v>✅ PE ต่ำกว่ากลุ่มเดียวกัน</v>
      </c>
    </row>
    <row r="41" spans="1:233" ht="24" customHeight="1" x14ac:dyDescent="0.5">
      <c r="A41" s="51"/>
      <c r="B41" s="21" t="str">
        <f t="shared" ref="B41:C41" si="185">IF((B3 &lt; (B4 * B5)), "✅ ต่ำกว่าราคาประเมินอยู่ " &amp; TEXT(((B4*B5)-B3)/(B4*B5), "0.00%"), "⚠️ สูงกว่าราคาประเมินอยู่ " &amp; TEXT((B3 - (B4*B5))/(B4*B5), "0.00%"))</f>
        <v>⚠️ สูงกว่าราคาประเมินอยู่ -396.57%</v>
      </c>
      <c r="C41" s="30" t="str">
        <f t="shared" si="185"/>
        <v>✅ ต่ำกว่าราคาประเมินอยู่ 43.39%</v>
      </c>
      <c r="D41" s="30" t="str">
        <f t="shared" ref="D41:AB41" si="186">IF((D3 &lt; (D4 * D5)), "✅ ต่ำกว่าราคาประเมินอยู่ " &amp; TEXT(((D4*D5)-D3)/(D4*D5), "0.00%"), "⚠️ สูงกว่าราคาประเมินอยู่ " &amp; TEXT((D3 - (D4*D5))/(D4*D5), "0.00%"))</f>
        <v>⚠️ สูงกว่าราคาประเมินอยู่ 154.81%</v>
      </c>
      <c r="E41" s="30" t="str">
        <f t="shared" si="186"/>
        <v>⚠️ สูงกว่าราคาประเมินอยู่ -288.03%</v>
      </c>
      <c r="F41" s="30" t="str">
        <f t="shared" si="186"/>
        <v>⚠️ สูงกว่าราคาประเมินอยู่ -106.46%</v>
      </c>
      <c r="G41" s="30" t="str">
        <f t="shared" si="186"/>
        <v>⚠️ สูงกว่าราคาประเมินอยู่ -187.60%</v>
      </c>
      <c r="H41" s="30" t="str">
        <f t="shared" si="186"/>
        <v>⚠️ สูงกว่าราคาประเมินอยู่ -337.68%</v>
      </c>
      <c r="I41" s="30" t="str">
        <f t="shared" si="186"/>
        <v>⚠️ สูงกว่าราคาประเมินอยู่ 10.35%</v>
      </c>
      <c r="J41" s="30" t="str">
        <f t="shared" si="186"/>
        <v>✅ ต่ำกว่าราคาประเมินอยู่ 3.95%</v>
      </c>
      <c r="K41" s="30" t="str">
        <f t="shared" si="186"/>
        <v>✅ ต่ำกว่าราคาประเมินอยู่ 5.70%</v>
      </c>
      <c r="L41" s="30" t="str">
        <f t="shared" si="186"/>
        <v>⚠️ สูงกว่าราคาประเมินอยู่ 6.21%</v>
      </c>
      <c r="M41" s="30" t="str">
        <f t="shared" si="186"/>
        <v>⚠️ สูงกว่าราคาประเมินอยู่ 63.03%</v>
      </c>
      <c r="N41" s="30" t="str">
        <f t="shared" si="186"/>
        <v>✅ ต่ำกว่าราคาประเมินอยู่ 12.31%</v>
      </c>
      <c r="O41" s="30" t="str">
        <f t="shared" si="186"/>
        <v>⚠️ สูงกว่าราคาประเมินอยู่ 304.38%</v>
      </c>
      <c r="P41" s="30" t="str">
        <f t="shared" si="186"/>
        <v>✅ ต่ำกว่าราคาประเมินอยู่ 44.10%</v>
      </c>
      <c r="Q41" s="30" t="str">
        <f t="shared" si="186"/>
        <v>⚠️ สูงกว่าราคาประเมินอยู่ 48.36%</v>
      </c>
      <c r="R41" s="30" t="str">
        <f t="shared" si="186"/>
        <v>⚠️ สูงกว่าราคาประเมินอยู่ 11.67%</v>
      </c>
      <c r="S41" s="30" t="str">
        <f t="shared" si="186"/>
        <v>⚠️ สูงกว่าราคาประเมินอยู่ 82.38%</v>
      </c>
      <c r="T41" s="30" t="str">
        <f t="shared" si="186"/>
        <v>✅ ต่ำกว่าราคาประเมินอยู่ 4.49%</v>
      </c>
      <c r="U41" s="30" t="str">
        <f t="shared" si="186"/>
        <v>✅ ต่ำกว่าราคาประเมินอยู่ 20.06%</v>
      </c>
      <c r="V41" s="30" t="str">
        <f t="shared" si="186"/>
        <v>✅ ต่ำกว่าราคาประเมินอยู่ 7.76%</v>
      </c>
      <c r="W41" s="30" t="str">
        <f t="shared" si="186"/>
        <v>⚠️ สูงกว่าราคาประเมินอยู่ 51.45%</v>
      </c>
      <c r="X41" s="30" t="str">
        <f t="shared" si="186"/>
        <v>⚠️ สูงกว่าราคาประเมินอยู่ 19.30%</v>
      </c>
      <c r="Y41" s="30" t="str">
        <f t="shared" si="186"/>
        <v>⚠️ สูงกว่าราคาประเมินอยู่ 12.56%</v>
      </c>
      <c r="Z41" s="30" t="str">
        <f t="shared" si="186"/>
        <v>⚠️ สูงกว่าราคาประเมินอยู่ 443.66%</v>
      </c>
      <c r="AA41" s="30" t="str">
        <f t="shared" si="186"/>
        <v>⚠️ สูงกว่าราคาประเมินอยู่ 0.80%</v>
      </c>
      <c r="AB41" s="30" t="str">
        <f t="shared" si="186"/>
        <v>✅ ต่ำกว่าราคาประเมินอยู่ 84.18%</v>
      </c>
      <c r="AC41" s="30" t="str">
        <f t="shared" ref="AC41:BE41" si="187">IF((AC3 &lt; (AC4 * AC5)), "✅ ต่ำกว่าราคาประเมินอยู่ " &amp; TEXT(((AC4*AC5)-AC3)/(AC4*AC5), "0.00%"), "⚠️ สูงกว่าราคาประเมินอยู่ " &amp; TEXT((AC3 - (AC4*AC5))/(AC4*AC5), "0.00%"))</f>
        <v>✅ ต่ำกว่าราคาประเมินอยู่ 20.92%</v>
      </c>
      <c r="AD41" s="30" t="str">
        <f t="shared" si="187"/>
        <v>⚠️ สูงกว่าราคาประเมินอยู่ 12.86%</v>
      </c>
      <c r="AE41" s="30" t="str">
        <f t="shared" si="187"/>
        <v>⚠️ สูงกว่าราคาประเมินอยู่ 0.63%</v>
      </c>
      <c r="AF41" s="30" t="str">
        <f t="shared" si="187"/>
        <v>✅ ต่ำกว่าราคาประเมินอยู่ 4.99%</v>
      </c>
      <c r="AG41" s="30" t="str">
        <f t="shared" si="187"/>
        <v>⚠️ สูงกว่าราคาประเมินอยู่ 18.63%</v>
      </c>
      <c r="AH41" s="30" t="str">
        <f t="shared" si="187"/>
        <v>✅ ต่ำกว่าราคาประเมินอยู่ 24.52%</v>
      </c>
      <c r="AI41" s="30" t="str">
        <f t="shared" si="187"/>
        <v>⚠️ สูงกว่าราคาประเมินอยู่ 5.98%</v>
      </c>
      <c r="AJ41" s="30" t="str">
        <f t="shared" si="187"/>
        <v>✅ ต่ำกว่าราคาประเมินอยู่ 13.32%</v>
      </c>
      <c r="AK41" s="30" t="str">
        <f t="shared" si="187"/>
        <v>✅ ต่ำกว่าราคาประเมินอยู่ 35.21%</v>
      </c>
      <c r="AL41" s="30" t="str">
        <f t="shared" si="187"/>
        <v>⚠️ สูงกว่าราคาประเมินอยู่ 54.99%</v>
      </c>
      <c r="AM41" s="30" t="str">
        <f t="shared" si="187"/>
        <v>✅ ต่ำกว่าราคาประเมินอยู่ 6.66%</v>
      </c>
      <c r="AN41" s="30" t="str">
        <f t="shared" si="187"/>
        <v>✅ ต่ำกว่าราคาประเมินอยู่ 16.30%</v>
      </c>
      <c r="AO41" s="30" t="str">
        <f t="shared" si="187"/>
        <v>✅ ต่ำกว่าราคาประเมินอยู่ 2.64%</v>
      </c>
      <c r="AP41" s="30" t="str">
        <f t="shared" si="187"/>
        <v>✅ ต่ำกว่าราคาประเมินอยู่ 13.76%</v>
      </c>
      <c r="AQ41" s="30" t="str">
        <f t="shared" si="187"/>
        <v>✅ ต่ำกว่าราคาประเมินอยู่ 46.55%</v>
      </c>
      <c r="AR41" s="30" t="str">
        <f t="shared" si="187"/>
        <v>✅ ต่ำกว่าราคาประเมินอยู่ 2.39%</v>
      </c>
      <c r="AS41" s="30" t="str">
        <f t="shared" si="187"/>
        <v>⚠️ สูงกว่าราคาประเมินอยู่ 22.26%</v>
      </c>
      <c r="AT41" s="30" t="str">
        <f t="shared" si="187"/>
        <v>✅ ต่ำกว่าราคาประเมินอยู่ 82.59%</v>
      </c>
      <c r="AU41" s="30" t="str">
        <f t="shared" si="187"/>
        <v>✅ ต่ำกว่าราคาประเมินอยู่ 61.95%</v>
      </c>
      <c r="AV41" s="30" t="str">
        <f t="shared" si="187"/>
        <v>✅ ต่ำกว่าราคาประเมินอยู่ 36.71%</v>
      </c>
      <c r="AW41" s="30" t="str">
        <f t="shared" si="187"/>
        <v>✅ ต่ำกว่าราคาประเมินอยู่ 23.29%</v>
      </c>
      <c r="AX41" s="30" t="str">
        <f t="shared" si="187"/>
        <v>✅ ต่ำกว่าราคาประเมินอยู่ 17.45%</v>
      </c>
      <c r="AY41" s="30" t="str">
        <f t="shared" si="187"/>
        <v>✅ ต่ำกว่าราคาประเมินอยู่ 25.52%</v>
      </c>
      <c r="AZ41" s="30" t="str">
        <f t="shared" si="187"/>
        <v>✅ ต่ำกว่าราคาประเมินอยู่ 4.39%</v>
      </c>
      <c r="BA41" s="30" t="str">
        <f t="shared" si="187"/>
        <v>⚠️ สูงกว่าราคาประเมินอยู่ 29.86%</v>
      </c>
      <c r="BB41" s="30" t="str">
        <f t="shared" si="187"/>
        <v>✅ ต่ำกว่าราคาประเมินอยู่ 51.31%</v>
      </c>
      <c r="BC41" s="30" t="str">
        <f t="shared" si="187"/>
        <v>✅ ต่ำกว่าราคาประเมินอยู่ 71.00%</v>
      </c>
      <c r="BD41" s="30" t="str">
        <f t="shared" si="187"/>
        <v>✅ ต่ำกว่าราคาประเมินอยู่ 31.44%</v>
      </c>
      <c r="BE41" s="30" t="str">
        <f t="shared" si="187"/>
        <v>✅ ต่ำกว่าราคาประเมินอยู่ 8.57%</v>
      </c>
      <c r="BF41" s="30" t="str">
        <f t="shared" ref="BF41:BK41" si="188">IF((BF3 &lt; (BF4 * BF5)), "✅ ต่ำกว่าราคาประเมินอยู่ " &amp; TEXT(((BF4*BF5)-BF3)/(BF4*BF5), "0.00%"), "⚠️ สูงกว่าราคาประเมินอยู่ " &amp; TEXT((BF3 - (BF4*BF5))/(BF4*BF5), "0.00%"))</f>
        <v>✅ ต่ำกว่าราคาประเมินอยู่ 41.64%</v>
      </c>
      <c r="BG41" s="30" t="str">
        <f t="shared" si="188"/>
        <v>⚠️ สูงกว่าราคาประเมินอยู่ -127.78%</v>
      </c>
      <c r="BH41" s="30" t="str">
        <f t="shared" si="188"/>
        <v>⚠️ สูงกว่าราคาประเมินอยู่ 77.52%</v>
      </c>
      <c r="BI41" s="30" t="str">
        <f t="shared" si="188"/>
        <v>✅ ต่ำกว่าราคาประเมินอยู่ 7.81%</v>
      </c>
      <c r="BJ41" s="30" t="str">
        <f t="shared" si="188"/>
        <v>⚠️ สูงกว่าราคาประเมินอยู่ 125.76%</v>
      </c>
      <c r="BK41" s="30" t="str">
        <f t="shared" si="188"/>
        <v>✅ ต่ำกว่าราคาประเมินอยู่ 41.81%</v>
      </c>
      <c r="BL41" s="30" t="str">
        <f t="shared" ref="BL41:DW41" si="189">IF((BL3 &lt; (BL4 * BL5)), "✅ ต่ำกว่าราคาประเมินอยู่ " &amp; TEXT(((BL4*BL5)-BL3)/(BL4*BL5), "0.00%"), "⚠️ สูงกว่าราคาประเมินอยู่ " &amp; TEXT((BL3 - (BL4*BL5))/(BL4*BL5), "0.00%"))</f>
        <v>⚠️ สูงกว่าราคาประเมินอยู่ 175.94%</v>
      </c>
      <c r="BM41" s="30" t="str">
        <f t="shared" si="189"/>
        <v>⚠️ สูงกว่าราคาประเมินอยู่ 24.61%</v>
      </c>
      <c r="BN41" s="30" t="str">
        <f t="shared" si="189"/>
        <v>✅ ต่ำกว่าราคาประเมินอยู่ 45.81%</v>
      </c>
      <c r="BO41" s="30" t="str">
        <f t="shared" si="189"/>
        <v>✅ ต่ำกว่าราคาประเมินอยู่ 17.94%</v>
      </c>
      <c r="BP41" s="30" t="str">
        <f t="shared" si="189"/>
        <v>✅ ต่ำกว่าราคาประเมินอยู่ 50.58%</v>
      </c>
      <c r="BQ41" s="30" t="str">
        <f t="shared" si="189"/>
        <v>✅ ต่ำกว่าราคาประเมินอยู่ 55.48%</v>
      </c>
      <c r="BR41" s="30" t="str">
        <f t="shared" si="189"/>
        <v>✅ ต่ำกว่าราคาประเมินอยู่ 15.63%</v>
      </c>
      <c r="BS41" s="30" t="str">
        <f t="shared" si="189"/>
        <v>⚠️ สูงกว่าราคาประเมินอยู่ 30.81%</v>
      </c>
      <c r="BT41" s="30" t="str">
        <f t="shared" si="189"/>
        <v>⚠️ สูงกว่าราคาประเมินอยู่ 4.04%</v>
      </c>
      <c r="BU41" s="30" t="str">
        <f t="shared" si="189"/>
        <v>✅ ต่ำกว่าราคาประเมินอยู่ 40.34%</v>
      </c>
      <c r="BV41" s="30" t="str">
        <f t="shared" si="189"/>
        <v>✅ ต่ำกว่าราคาประเมินอยู่ 51.25%</v>
      </c>
      <c r="BW41" s="30" t="str">
        <f t="shared" si="189"/>
        <v>⚠️ สูงกว่าราคาประเมินอยู่ 13.03%</v>
      </c>
      <c r="BX41" s="30" t="str">
        <f t="shared" si="189"/>
        <v>⚠️ สูงกว่าราคาประเมินอยู่ 142.86%</v>
      </c>
      <c r="BY41" s="30" t="str">
        <f t="shared" si="189"/>
        <v>✅ ต่ำกว่าราคาประเมินอยู่ 54.97%</v>
      </c>
      <c r="BZ41" s="30" t="str">
        <f t="shared" si="189"/>
        <v>✅ ต่ำกว่าราคาประเมินอยู่ 30.14%</v>
      </c>
      <c r="CA41" s="30" t="str">
        <f t="shared" si="189"/>
        <v>✅ ต่ำกว่าราคาประเมินอยู่ 54.42%</v>
      </c>
      <c r="CB41" s="30" t="str">
        <f t="shared" si="189"/>
        <v>✅ ต่ำกว่าราคาประเมินอยู่ 10.29%</v>
      </c>
      <c r="CC41" s="30" t="str">
        <f t="shared" si="189"/>
        <v>✅ ต่ำกว่าราคาประเมินอยู่ 2.95%</v>
      </c>
      <c r="CD41" s="30" t="str">
        <f t="shared" si="189"/>
        <v>⚠️ สูงกว่าราคาประเมินอยู่ 14.18%</v>
      </c>
      <c r="CE41" s="30" t="str">
        <f t="shared" si="189"/>
        <v>✅ ต่ำกว่าราคาประเมินอยู่ 20.12%</v>
      </c>
      <c r="CF41" s="30" t="str">
        <f t="shared" si="189"/>
        <v>✅ ต่ำกว่าราคาประเมินอยู่ 18.89%</v>
      </c>
      <c r="CG41" s="30" t="str">
        <f t="shared" si="189"/>
        <v>⚠️ สูงกว่าราคาประเมินอยู่ 18.42%</v>
      </c>
      <c r="CH41" s="30" t="str">
        <f t="shared" si="189"/>
        <v>✅ ต่ำกว่าราคาประเมินอยู่ 8.46%</v>
      </c>
      <c r="CI41" s="30" t="str">
        <f t="shared" si="189"/>
        <v>✅ ต่ำกว่าราคาประเมินอยู่ 30.07%</v>
      </c>
      <c r="CJ41" s="30" t="str">
        <f t="shared" si="189"/>
        <v>✅ ต่ำกว่าราคาประเมินอยู่ 12.05%</v>
      </c>
      <c r="CK41" s="30" t="str">
        <f t="shared" si="189"/>
        <v>✅ ต่ำกว่าราคาประเมินอยู่ 4.21%</v>
      </c>
      <c r="CL41" s="30" t="str">
        <f t="shared" si="189"/>
        <v>✅ ต่ำกว่าราคาประเมินอยู่ 47.20%</v>
      </c>
      <c r="CM41" s="30" t="str">
        <f t="shared" si="189"/>
        <v>⚠️ สูงกว่าราคาประเมินอยู่ 131.30%</v>
      </c>
      <c r="CN41" s="30" t="str">
        <f t="shared" si="189"/>
        <v>⚠️ สูงกว่าราคาประเมินอยู่ 0.11%</v>
      </c>
      <c r="CO41" s="30" t="str">
        <f t="shared" si="189"/>
        <v>✅ ต่ำกว่าราคาประเมินอยู่ 42.68%</v>
      </c>
      <c r="CP41" s="30" t="str">
        <f t="shared" si="189"/>
        <v>✅ ต่ำกว่าราคาประเมินอยู่ 33.49%</v>
      </c>
      <c r="CQ41" s="30" t="str">
        <f t="shared" si="189"/>
        <v>⚠️ สูงกว่าราคาประเมินอยู่ 29.58%</v>
      </c>
      <c r="CR41" s="30" t="str">
        <f t="shared" si="189"/>
        <v>✅ ต่ำกว่าราคาประเมินอยู่ 5.58%</v>
      </c>
      <c r="CS41" s="30" t="str">
        <f t="shared" si="189"/>
        <v>⚠️ สูงกว่าราคาประเมินอยู่ 120.53%</v>
      </c>
      <c r="CT41" s="30" t="str">
        <f t="shared" si="189"/>
        <v>✅ ต่ำกว่าราคาประเมินอยู่ 36.19%</v>
      </c>
      <c r="CU41" s="30" t="str">
        <f t="shared" si="189"/>
        <v>✅ ต่ำกว่าราคาประเมินอยู่ 27.73%</v>
      </c>
      <c r="CV41" s="30" t="str">
        <f t="shared" si="189"/>
        <v>✅ ต่ำกว่าราคาประเมินอยู่ 25.00%</v>
      </c>
      <c r="CW41" s="30" t="str">
        <f t="shared" si="189"/>
        <v>✅ ต่ำกว่าราคาประเมินอยู่ 8.59%</v>
      </c>
      <c r="CX41" s="30" t="str">
        <f t="shared" si="189"/>
        <v>✅ ต่ำกว่าราคาประเมินอยู่ 46.64%</v>
      </c>
      <c r="CY41" s="30" t="str">
        <f t="shared" si="189"/>
        <v>✅ ต่ำกว่าราคาประเมินอยู่ 27.10%</v>
      </c>
      <c r="CZ41" s="30" t="str">
        <f t="shared" si="189"/>
        <v>✅ ต่ำกว่าราคาประเมินอยู่ 32.75%</v>
      </c>
      <c r="DA41" s="30" t="str">
        <f t="shared" si="189"/>
        <v>✅ ต่ำกว่าราคาประเมินอยู่ 17.21%</v>
      </c>
      <c r="DB41" s="30" t="str">
        <f t="shared" si="189"/>
        <v>✅ ต่ำกว่าราคาประเมินอยู่ 72.76%</v>
      </c>
      <c r="DC41" s="30" t="str">
        <f t="shared" si="189"/>
        <v>✅ ต่ำกว่าราคาประเมินอยู่ 67.11%</v>
      </c>
      <c r="DD41" s="30" t="str">
        <f t="shared" si="189"/>
        <v>⚠️ สูงกว่าราคาประเมินอยู่ 228.01%</v>
      </c>
      <c r="DE41" s="30" t="str">
        <f t="shared" si="189"/>
        <v>⚠️ สูงกว่าราคาประเมินอยู่ 198.60%</v>
      </c>
      <c r="DF41" s="30" t="str">
        <f t="shared" si="189"/>
        <v>⚠️ สูงกว่าราคาประเมินอยู่ 19.08%</v>
      </c>
      <c r="DG41" s="30" t="str">
        <f t="shared" si="189"/>
        <v>⚠️ สูงกว่าราคาประเมินอยู่ 69.00%</v>
      </c>
      <c r="DH41" s="30" t="str">
        <f t="shared" si="189"/>
        <v>✅ ต่ำกว่าราคาประเมินอยู่ 64.03%</v>
      </c>
      <c r="DI41" s="30" t="str">
        <f t="shared" si="189"/>
        <v>⚠️ สูงกว่าราคาประเมินอยู่ 26.19%</v>
      </c>
      <c r="DJ41" s="30" t="str">
        <f t="shared" si="189"/>
        <v>✅ ต่ำกว่าราคาประเมินอยู่ 17.07%</v>
      </c>
      <c r="DK41" s="30" t="str">
        <f t="shared" si="189"/>
        <v>✅ ต่ำกว่าราคาประเมินอยู่ 61.55%</v>
      </c>
      <c r="DL41" s="30" t="str">
        <f t="shared" si="189"/>
        <v>✅ ต่ำกว่าราคาประเมินอยู่ 0.80%</v>
      </c>
      <c r="DM41" s="30" t="str">
        <f t="shared" si="189"/>
        <v>✅ ต่ำกว่าราคาประเมินอยู่ 63.91%</v>
      </c>
      <c r="DN41" s="30" t="str">
        <f t="shared" si="189"/>
        <v>✅ ต่ำกว่าราคาประเมินอยู่ 41.97%</v>
      </c>
      <c r="DO41" s="30" t="str">
        <f t="shared" si="189"/>
        <v>✅ ต่ำกว่าราคาประเมินอยู่ 35.46%</v>
      </c>
      <c r="DP41" s="30" t="str">
        <f t="shared" si="189"/>
        <v>✅ ต่ำกว่าราคาประเมินอยู่ 7.26%</v>
      </c>
      <c r="DQ41" s="30" t="str">
        <f t="shared" si="189"/>
        <v>✅ ต่ำกว่าราคาประเมินอยู่ 19.12%</v>
      </c>
      <c r="DR41" s="30" t="e">
        <f t="shared" si="189"/>
        <v>#DIV/0!</v>
      </c>
      <c r="DS41" s="30" t="str">
        <f t="shared" si="189"/>
        <v>⚠️ สูงกว่าราคาประเมินอยู่ 5.90%</v>
      </c>
      <c r="DT41" s="30" t="str">
        <f t="shared" si="189"/>
        <v>⚠️ สูงกว่าราคาประเมินอยู่ 169.91%</v>
      </c>
      <c r="DU41" s="30" t="str">
        <f t="shared" si="189"/>
        <v>⚠️ สูงกว่าราคาประเมินอยู่ 2.86%</v>
      </c>
      <c r="DV41" s="30" t="str">
        <f t="shared" si="189"/>
        <v>✅ ต่ำกว่าราคาประเมินอยู่ 23.06%</v>
      </c>
      <c r="DW41" s="30" t="str">
        <f t="shared" si="189"/>
        <v>✅ ต่ำกว่าราคาประเมินอยู่ 48.21%</v>
      </c>
      <c r="DX41" s="30" t="str">
        <f t="shared" ref="DX41:FA41" si="190">IF((DX3 &lt; (DX4 * DX5)), "✅ ต่ำกว่าราคาประเมินอยู่ " &amp; TEXT(((DX4*DX5)-DX3)/(DX4*DX5), "0.00%"), "⚠️ สูงกว่าราคาประเมินอยู่ " &amp; TEXT((DX3 - (DX4*DX5))/(DX4*DX5), "0.00%"))</f>
        <v>✅ ต่ำกว่าราคาประเมินอยู่ 49.09%</v>
      </c>
      <c r="DY41" s="30" t="str">
        <f t="shared" si="190"/>
        <v>⚠️ สูงกว่าราคาประเมินอยู่ 3.32%</v>
      </c>
      <c r="DZ41" s="30" t="e">
        <f t="shared" si="190"/>
        <v>#DIV/0!</v>
      </c>
      <c r="EA41" s="30" t="str">
        <f t="shared" si="190"/>
        <v>✅ ต่ำกว่าราคาประเมินอยู่ 43.59%</v>
      </c>
      <c r="EB41" s="30" t="str">
        <f t="shared" si="190"/>
        <v>✅ ต่ำกว่าราคาประเมินอยู่ 63.77%</v>
      </c>
      <c r="EC41" s="30" t="str">
        <f t="shared" si="190"/>
        <v>✅ ต่ำกว่าราคาประเมินอยู่ 27.93%</v>
      </c>
      <c r="ED41" s="30" t="str">
        <f t="shared" si="190"/>
        <v>✅ ต่ำกว่าราคาประเมินอยู่ 26.39%</v>
      </c>
      <c r="EE41" s="30" t="str">
        <f t="shared" si="190"/>
        <v>⚠️ สูงกว่าราคาประเมินอยู่ 5.86%</v>
      </c>
      <c r="EF41" s="30" t="str">
        <f t="shared" si="190"/>
        <v>✅ ต่ำกว่าราคาประเมินอยู่ 40.87%</v>
      </c>
      <c r="EG41" s="30" t="str">
        <f t="shared" si="190"/>
        <v>✅ ต่ำกว่าราคาประเมินอยู่ 87.65%</v>
      </c>
      <c r="EH41" s="30" t="str">
        <f t="shared" si="190"/>
        <v>✅ ต่ำกว่าราคาประเมินอยู่ 8.30%</v>
      </c>
      <c r="EI41" s="30" t="str">
        <f t="shared" si="190"/>
        <v>✅ ต่ำกว่าราคาประเมินอยู่ 12.14%</v>
      </c>
      <c r="EJ41" s="30" t="str">
        <f t="shared" si="190"/>
        <v>⚠️ สูงกว่าราคาประเมินอยู่ 1.73%</v>
      </c>
      <c r="EK41" s="30" t="str">
        <f t="shared" si="190"/>
        <v>✅ ต่ำกว่าราคาประเมินอยู่ 16.82%</v>
      </c>
      <c r="EL41" s="30" t="str">
        <f t="shared" si="190"/>
        <v>✅ ต่ำกว่าราคาประเมินอยู่ 4.10%</v>
      </c>
      <c r="EM41" s="30" t="str">
        <f t="shared" si="190"/>
        <v>✅ ต่ำกว่าราคาประเมินอยู่ 24.77%</v>
      </c>
      <c r="EN41" s="30" t="str">
        <f t="shared" si="190"/>
        <v>✅ ต่ำกว่าราคาประเมินอยู่ 43.19%</v>
      </c>
      <c r="EO41" s="44" t="str">
        <f t="shared" si="190"/>
        <v>✅ ต่ำกว่าราคาประเมินอยู่ 25.46%</v>
      </c>
      <c r="EZ41" s="41" t="str">
        <f t="shared" si="190"/>
        <v>✅ ต่ำกว่าราคาประเมินอยู่ 34.70%</v>
      </c>
      <c r="FA41" s="30" t="str">
        <f t="shared" si="190"/>
        <v>✅ ต่ำกว่าราคาประเมินอยู่ 56.73%</v>
      </c>
      <c r="FB41" s="30" t="str">
        <f t="shared" ref="FB41:HM41" si="191">IF((FB3 &lt; (FB4 * FB5)), "✅ ต่ำกว่าราคาประเมินอยู่ " &amp; TEXT(((FB4*FB5)-FB3)/(FB4*FB5), "0.00%"), "⚠️ สูงกว่าราคาประเมินอยู่ " &amp; TEXT((FB3 - (FB4*FB5))/(FB4*FB5), "0.00%"))</f>
        <v>✅ ต่ำกว่าราคาประเมินอยู่ 9.28%</v>
      </c>
      <c r="FC41" s="30" t="str">
        <f t="shared" si="191"/>
        <v>✅ ต่ำกว่าราคาประเมินอยู่ 31.21%</v>
      </c>
      <c r="FD41" s="30" t="str">
        <f t="shared" si="191"/>
        <v>✅ ต่ำกว่าราคาประเมินอยู่ 43.39%</v>
      </c>
      <c r="FE41" s="30" t="str">
        <f t="shared" si="191"/>
        <v>✅ ต่ำกว่าราคาประเมินอยู่ 46.20%</v>
      </c>
      <c r="FF41" s="30" t="str">
        <f t="shared" si="191"/>
        <v>⚠️ สูงกว่าราคาประเมินอยู่ 166.49%</v>
      </c>
      <c r="FG41" s="30" t="str">
        <f t="shared" si="191"/>
        <v>✅ ต่ำกว่าราคาประเมินอยู่ 46.19%</v>
      </c>
      <c r="FH41" s="30" t="str">
        <f t="shared" si="191"/>
        <v>✅ ต่ำกว่าราคาประเมินอยู่ 47.23%</v>
      </c>
      <c r="FI41" s="30" t="e">
        <f t="shared" si="191"/>
        <v>#DIV/0!</v>
      </c>
      <c r="FJ41" s="30" t="str">
        <f t="shared" si="191"/>
        <v>✅ ต่ำกว่าราคาประเมินอยู่ 20.86%</v>
      </c>
      <c r="FK41" s="30" t="str">
        <f t="shared" si="191"/>
        <v>✅ ต่ำกว่าราคาประเมินอยู่ 59.65%</v>
      </c>
      <c r="FL41" s="30" t="str">
        <f t="shared" si="191"/>
        <v>✅ ต่ำกว่าราคาประเมินอยู่ 3.13%</v>
      </c>
      <c r="FM41" s="30" t="str">
        <f t="shared" si="191"/>
        <v>⚠️ สูงกว่าราคาประเมินอยู่ 31.65%</v>
      </c>
      <c r="FN41" s="30" t="str">
        <f t="shared" si="191"/>
        <v>✅ ต่ำกว่าราคาประเมินอยู่ 56.02%</v>
      </c>
      <c r="FO41" s="30" t="str">
        <f t="shared" si="191"/>
        <v>✅ ต่ำกว่าราคาประเมินอยู่ 44.11%</v>
      </c>
      <c r="FP41" s="30" t="str">
        <f t="shared" si="191"/>
        <v>✅ ต่ำกว่าราคาประเมินอยู่ 67.04%</v>
      </c>
      <c r="FQ41" s="30" t="str">
        <f t="shared" si="191"/>
        <v>⚠️ สูงกว่าราคาประเมินอยู่ 32.42%</v>
      </c>
      <c r="FR41" s="30" t="str">
        <f t="shared" si="191"/>
        <v>⚠️ สูงกว่าราคาประเมินอยู่ 31.78%</v>
      </c>
      <c r="FS41" s="30" t="str">
        <f t="shared" si="191"/>
        <v>✅ ต่ำกว่าราคาประเมินอยู่ 22.68%</v>
      </c>
      <c r="FT41" s="30" t="str">
        <f t="shared" si="191"/>
        <v>⚠️ สูงกว่าราคาประเมินอยู่ 62.81%</v>
      </c>
      <c r="FU41" s="30" t="str">
        <f t="shared" si="191"/>
        <v>⚠️ สูงกว่าราคาประเมินอยู่ 55.87%</v>
      </c>
      <c r="FV41" s="30" t="str">
        <f t="shared" si="191"/>
        <v>⚠️ สูงกว่าราคาประเมินอยู่ 118.32%</v>
      </c>
      <c r="FW41" s="30" t="str">
        <f t="shared" si="191"/>
        <v>✅ ต่ำกว่าราคาประเมินอยู่ 54.39%</v>
      </c>
      <c r="FX41" s="30" t="str">
        <f t="shared" si="191"/>
        <v>⚠️ สูงกว่าราคาประเมินอยู่ 425.70%</v>
      </c>
      <c r="FY41" s="30" t="str">
        <f t="shared" si="191"/>
        <v>✅ ต่ำกว่าราคาประเมินอยู่ 72.78%</v>
      </c>
      <c r="FZ41" s="30" t="e">
        <f t="shared" si="191"/>
        <v>#DIV/0!</v>
      </c>
      <c r="GA41" s="30" t="str">
        <f t="shared" si="191"/>
        <v>⚠️ สูงกว่าราคาประเมินอยู่ 205.45%</v>
      </c>
      <c r="GB41" s="30" t="str">
        <f t="shared" si="191"/>
        <v>⚠️ สูงกว่าราคาประเมินอยู่ 46.11%</v>
      </c>
      <c r="GC41" s="30" t="str">
        <f t="shared" si="191"/>
        <v>⚠️ สูงกว่าราคาประเมินอยู่ 67.48%</v>
      </c>
      <c r="GD41" s="30" t="str">
        <f t="shared" si="191"/>
        <v>✅ ต่ำกว่าราคาประเมินอยู่ 31.22%</v>
      </c>
      <c r="GE41" s="30" t="str">
        <f t="shared" si="191"/>
        <v>⚠️ สูงกว่าราคาประเมินอยู่ 58.17%</v>
      </c>
      <c r="GF41" s="30" t="str">
        <f t="shared" si="191"/>
        <v>⚠️ สูงกว่าราคาประเมินอยู่ 86.95%</v>
      </c>
      <c r="GG41" s="30" t="str">
        <f t="shared" si="191"/>
        <v>⚠️ สูงกว่าราคาประเมินอยู่ 406.86%</v>
      </c>
      <c r="GH41" s="30" t="str">
        <f t="shared" si="191"/>
        <v>✅ ต่ำกว่าราคาประเมินอยู่ 25.67%</v>
      </c>
      <c r="GI41" s="30" t="str">
        <f t="shared" si="191"/>
        <v>⚠️ สูงกว่าราคาประเมินอยู่ 472.08%</v>
      </c>
      <c r="GJ41" s="30" t="str">
        <f t="shared" si="191"/>
        <v>✅ ต่ำกว่าราคาประเมินอยู่ 6.23%</v>
      </c>
      <c r="GK41" s="30" t="str">
        <f t="shared" si="191"/>
        <v>⚠️ สูงกว่าราคาประเมินอยู่ 3.71%</v>
      </c>
      <c r="GL41" s="30" t="str">
        <f t="shared" si="191"/>
        <v>✅ ต่ำกว่าราคาประเมินอยู่ 28.79%</v>
      </c>
      <c r="GM41" s="30" t="str">
        <f t="shared" si="191"/>
        <v>⚠️ สูงกว่าราคาประเมินอยู่ 480.66%</v>
      </c>
      <c r="GN41" s="30" t="str">
        <f t="shared" si="191"/>
        <v>✅ ต่ำกว่าราคาประเมินอยู่ 62.00%</v>
      </c>
      <c r="GO41" s="30" t="str">
        <f t="shared" si="191"/>
        <v>⚠️ สูงกว่าราคาประเมินอยู่ 94.45%</v>
      </c>
      <c r="GP41" s="30" t="str">
        <f t="shared" si="191"/>
        <v>⚠️ สูงกว่าราคาประเมินอยู่ 7.17%</v>
      </c>
      <c r="GQ41" s="30" t="str">
        <f t="shared" si="191"/>
        <v>⚠️ สูงกว่าราคาประเมินอยู่ 76.42%</v>
      </c>
      <c r="GR41" s="30" t="str">
        <f t="shared" si="191"/>
        <v>✅ ต่ำกว่าราคาประเมินอยู่ 71.65%</v>
      </c>
      <c r="GS41" s="30" t="str">
        <f t="shared" si="191"/>
        <v>✅ ต่ำกว่าราคาประเมินอยู่ 25.86%</v>
      </c>
      <c r="GT41" s="30" t="e">
        <f t="shared" si="191"/>
        <v>#DIV/0!</v>
      </c>
      <c r="GU41" s="30" t="e">
        <f t="shared" si="191"/>
        <v>#DIV/0!</v>
      </c>
      <c r="GV41" s="30" t="e">
        <f t="shared" si="191"/>
        <v>#DIV/0!</v>
      </c>
      <c r="GW41" s="30" t="e">
        <f t="shared" si="191"/>
        <v>#DIV/0!</v>
      </c>
      <c r="GX41" s="30" t="e">
        <f t="shared" si="191"/>
        <v>#DIV/0!</v>
      </c>
      <c r="GY41" s="30" t="e">
        <f t="shared" si="191"/>
        <v>#DIV/0!</v>
      </c>
      <c r="GZ41" s="30" t="e">
        <f t="shared" si="191"/>
        <v>#DIV/0!</v>
      </c>
      <c r="HA41" s="30" t="e">
        <f t="shared" si="191"/>
        <v>#DIV/0!</v>
      </c>
      <c r="HB41" s="30" t="str">
        <f t="shared" si="191"/>
        <v>⚠️ สูงกว่าราคาประเมินอยู่ 154.13%</v>
      </c>
      <c r="HC41" s="30" t="str">
        <f t="shared" si="191"/>
        <v>✅ ต่ำกว่าราคาประเมินอยู่ 5.81%</v>
      </c>
      <c r="HD41" s="30" t="e">
        <f t="shared" si="191"/>
        <v>#DIV/0!</v>
      </c>
      <c r="HE41" s="30" t="str">
        <f t="shared" si="191"/>
        <v>✅ ต่ำกว่าราคาประเมินอยู่ 57.00%</v>
      </c>
      <c r="HF41" s="30" t="str">
        <f t="shared" si="191"/>
        <v>✅ ต่ำกว่าราคาประเมินอยู่ 6.70%</v>
      </c>
      <c r="HG41" s="30" t="e">
        <f t="shared" si="191"/>
        <v>#DIV/0!</v>
      </c>
      <c r="HH41" s="30" t="str">
        <f t="shared" si="191"/>
        <v>✅ ต่ำกว่าราคาประเมินอยู่ 24.25%</v>
      </c>
      <c r="HI41" s="30" t="str">
        <f t="shared" si="191"/>
        <v>✅ ต่ำกว่าราคาประเมินอยู่ 15.03%</v>
      </c>
      <c r="HJ41" s="30" t="e">
        <f t="shared" si="191"/>
        <v>#DIV/0!</v>
      </c>
      <c r="HK41" s="30" t="str">
        <f t="shared" si="191"/>
        <v>⚠️ สูงกว่าราคาประเมินอยู่ 1.41%</v>
      </c>
      <c r="HL41" s="30" t="str">
        <f t="shared" si="191"/>
        <v>⚠️ สูงกว่าราคาประเมินอยู่ 134.95%</v>
      </c>
      <c r="HM41" s="30" t="str">
        <f t="shared" si="191"/>
        <v>✅ ต่ำกว่าราคาประเมินอยู่ 2.90%</v>
      </c>
      <c r="HN41" s="30" t="str">
        <f t="shared" ref="HN41:HV41" si="192">IF((HN3 &lt; (HN4 * HN5)), "✅ ต่ำกว่าราคาประเมินอยู่ " &amp; TEXT(((HN4*HN5)-HN3)/(HN4*HN5), "0.00%"), "⚠️ สูงกว่าราคาประเมินอยู่ " &amp; TEXT((HN3 - (HN4*HN5))/(HN4*HN5), "0.00%"))</f>
        <v>✅ ต่ำกว่าราคาประเมินอยู่ 43.11%</v>
      </c>
      <c r="HO41" s="30" t="str">
        <f t="shared" si="192"/>
        <v>✅ ต่ำกว่าราคาประเมินอยู่ 39.73%</v>
      </c>
      <c r="HP41" s="30" t="str">
        <f t="shared" si="192"/>
        <v>✅ ต่ำกว่าราคาประเมินอยู่ 7.49%</v>
      </c>
      <c r="HQ41" s="30" t="str">
        <f t="shared" si="192"/>
        <v>✅ ต่ำกว่าราคาประเมินอยู่ 27.01%</v>
      </c>
      <c r="HR41" s="30" t="str">
        <f t="shared" si="192"/>
        <v>✅ ต่ำกว่าราคาประเมินอยู่ 62.63%</v>
      </c>
      <c r="HS41" s="30" t="str">
        <f t="shared" si="192"/>
        <v>✅ ต่ำกว่าราคาประเมินอยู่ 42.16%</v>
      </c>
      <c r="HT41" s="30" t="str">
        <f t="shared" si="192"/>
        <v>✅ ต่ำกว่าราคาประเมินอยู่ 18.33%</v>
      </c>
      <c r="HU41" s="30" t="str">
        <f t="shared" si="192"/>
        <v>⚠️ สูงกว่าราคาประเมินอยู่ 0.02%</v>
      </c>
      <c r="HV41" s="21" t="str">
        <f t="shared" si="192"/>
        <v>⚠️ สูงกว่าราคาประเมินอยู่ 152.95%</v>
      </c>
      <c r="HW41" s="30" t="str">
        <f t="shared" ref="HW41:HX41" si="193">IF((HW3 &lt; (HW4 * HW5)), "✅ ต่ำกว่าราคาประเมินอยู่ " &amp; TEXT(((HW4*HW5)-HW3)/(HW4*HW5), "0.00%"), "⚠️ สูงกว่าราคาประเมินอยู่ " &amp; TEXT((HW3 - (HW4*HW5))/(HW4*HW5), "0.00%"))</f>
        <v>✅ ต่ำกว่าราคาประเมินอยู่ 49.77%</v>
      </c>
      <c r="HX41" s="30" t="str">
        <f t="shared" ref="HX41:HY41" si="194">IF((HX3 &lt; (HX4 * HX5)), "✅ ต่ำกว่าราคาประเมินอยู่ " &amp; TEXT(((HX4*HX5)-HX3)/(HX4*HX5), "0.00%"), "⚠️ สูงกว่าราคาประเมินอยู่ " &amp; TEXT((HX3 - (HX4*HX5))/(HX4*HX5), "0.00%"))</f>
        <v>✅ ต่ำกว่าราคาประเมินอยู่ 21.97%</v>
      </c>
      <c r="HY41" s="30" t="str">
        <f t="shared" si="194"/>
        <v>✅ ต่ำกว่าราคาประเมินอยู่ 7.40%</v>
      </c>
    </row>
    <row r="42" spans="1:233" ht="24" customHeight="1" x14ac:dyDescent="0.5">
      <c r="A42" s="51"/>
      <c r="B42" s="21" t="str">
        <f t="shared" ref="B42:C42" si="195">IF(B8&lt;1,"✅ PEG &lt; 1 = โตเร็วแต่ยังถูก","⚠️ PEG &gt; 1 = ต้องโตให้คุ้มราคานี้")</f>
        <v>⚠️ PEG &gt; 1 = ต้องโตให้คุ้มราคานี้</v>
      </c>
      <c r="C42" s="30" t="str">
        <f t="shared" si="195"/>
        <v>✅ PEG &lt; 1 = โตเร็วแต่ยังถูก</v>
      </c>
      <c r="D42" s="21" t="str">
        <f t="shared" ref="D42:AA42" si="196">IF(D8&lt;1,"✅ PEG &lt; 1 = โตเร็วแต่ยังถูก","⚠️ PEG &gt; 1 = ต้องโตให้คุ้มราคานี้")</f>
        <v>⚠️ PEG &gt; 1 = ต้องโตให้คุ้มราคานี้</v>
      </c>
      <c r="E42" s="21" t="str">
        <f t="shared" si="196"/>
        <v>⚠️ PEG &gt; 1 = ต้องโตให้คุ้มราคานี้</v>
      </c>
      <c r="F42" s="21" t="str">
        <f t="shared" si="196"/>
        <v>⚠️ PEG &gt; 1 = ต้องโตให้คุ้มราคานี้</v>
      </c>
      <c r="G42" s="21" t="str">
        <f t="shared" si="196"/>
        <v>⚠️ PEG &gt; 1 = ต้องโตให้คุ้มราคานี้</v>
      </c>
      <c r="H42" s="21" t="str">
        <f t="shared" si="196"/>
        <v>⚠️ PEG &gt; 1 = ต้องโตให้คุ้มราคานี้</v>
      </c>
      <c r="I42" s="21" t="str">
        <f t="shared" si="196"/>
        <v>⚠️ PEG &gt; 1 = ต้องโตให้คุ้มราคานี้</v>
      </c>
      <c r="J42" s="21" t="str">
        <f t="shared" si="196"/>
        <v>⚠️ PEG &gt; 1 = ต้องโตให้คุ้มราคานี้</v>
      </c>
      <c r="K42" s="21" t="str">
        <f t="shared" si="196"/>
        <v>⚠️ PEG &gt; 1 = ต้องโตให้คุ้มราคานี้</v>
      </c>
      <c r="L42" s="21" t="str">
        <f t="shared" si="196"/>
        <v>⚠️ PEG &gt; 1 = ต้องโตให้คุ้มราคานี้</v>
      </c>
      <c r="M42" s="21" t="str">
        <f t="shared" si="196"/>
        <v>⚠️ PEG &gt; 1 = ต้องโตให้คุ้มราคานี้</v>
      </c>
      <c r="N42" s="21" t="str">
        <f t="shared" si="196"/>
        <v>⚠️ PEG &gt; 1 = ต้องโตให้คุ้มราคานี้</v>
      </c>
      <c r="O42" s="21" t="str">
        <f t="shared" si="196"/>
        <v>⚠️ PEG &gt; 1 = ต้องโตให้คุ้มราคานี้</v>
      </c>
      <c r="P42" s="21" t="str">
        <f t="shared" si="196"/>
        <v>⚠️ PEG &gt; 1 = ต้องโตให้คุ้มราคานี้</v>
      </c>
      <c r="Q42" s="21" t="str">
        <f t="shared" si="196"/>
        <v>⚠️ PEG &gt; 1 = ต้องโตให้คุ้มราคานี้</v>
      </c>
      <c r="R42" s="21" t="str">
        <f t="shared" si="196"/>
        <v>⚠️ PEG &gt; 1 = ต้องโตให้คุ้มราคานี้</v>
      </c>
      <c r="S42" s="21" t="str">
        <f t="shared" si="196"/>
        <v>⚠️ PEG &gt; 1 = ต้องโตให้คุ้มราคานี้</v>
      </c>
      <c r="T42" s="21" t="str">
        <f t="shared" si="196"/>
        <v>⚠️ PEG &gt; 1 = ต้องโตให้คุ้มราคานี้</v>
      </c>
      <c r="U42" s="21" t="str">
        <f t="shared" si="196"/>
        <v>⚠️ PEG &gt; 1 = ต้องโตให้คุ้มราคานี้</v>
      </c>
      <c r="V42" s="21" t="str">
        <f t="shared" si="196"/>
        <v>⚠️ PEG &gt; 1 = ต้องโตให้คุ้มราคานี้</v>
      </c>
      <c r="W42" s="21" t="str">
        <f t="shared" si="196"/>
        <v>⚠️ PEG &gt; 1 = ต้องโตให้คุ้มราคานี้</v>
      </c>
      <c r="X42" s="21" t="str">
        <f t="shared" si="196"/>
        <v>⚠️ PEG &gt; 1 = ต้องโตให้คุ้มราคานี้</v>
      </c>
      <c r="Y42" s="21" t="str">
        <f t="shared" si="196"/>
        <v>⚠️ PEG &gt; 1 = ต้องโตให้คุ้มราคานี้</v>
      </c>
      <c r="Z42" s="21" t="str">
        <f t="shared" si="196"/>
        <v>⚠️ PEG &gt; 1 = ต้องโตให้คุ้มราคานี้</v>
      </c>
      <c r="AA42" s="21" t="str">
        <f t="shared" si="196"/>
        <v>⚠️ PEG &gt; 1 = ต้องโตให้คุ้มราคานี้</v>
      </c>
      <c r="AB42" s="30" t="str">
        <f>IF(AB8&lt;1,"✅ PEG &lt; 1 = โตเร็วแต่ยังถูก","⚠️ PEG &gt; 1 = ต้องโตให้คุ้มราคานี้")</f>
        <v>✅ PEG &lt; 1 = โตเร็วแต่ยังถูก</v>
      </c>
      <c r="AC42" s="30" t="str">
        <f t="shared" ref="AC42:BE42" si="197">IF(AC8&lt;1,"✅ PEG &lt; 1 = โตเร็วแต่ยังถูก","⚠️ PEG &gt; 1 = ต้องโตให้คุ้มราคานี้")</f>
        <v>⚠️ PEG &gt; 1 = ต้องโตให้คุ้มราคานี้</v>
      </c>
      <c r="AD42" s="30" t="str">
        <f t="shared" si="197"/>
        <v>⚠️ PEG &gt; 1 = ต้องโตให้คุ้มราคานี้</v>
      </c>
      <c r="AE42" s="30" t="str">
        <f t="shared" si="197"/>
        <v>✅ PEG &lt; 1 = โตเร็วแต่ยังถูก</v>
      </c>
      <c r="AF42" s="30" t="str">
        <f t="shared" si="197"/>
        <v>⚠️ PEG &gt; 1 = ต้องโตให้คุ้มราคานี้</v>
      </c>
      <c r="AG42" s="30" t="str">
        <f t="shared" si="197"/>
        <v>⚠️ PEG &gt; 1 = ต้องโตให้คุ้มราคานี้</v>
      </c>
      <c r="AH42" s="30" t="str">
        <f t="shared" si="197"/>
        <v>⚠️ PEG &gt; 1 = ต้องโตให้คุ้มราคานี้</v>
      </c>
      <c r="AI42" s="30" t="str">
        <f t="shared" si="197"/>
        <v>⚠️ PEG &gt; 1 = ต้องโตให้คุ้มราคานี้</v>
      </c>
      <c r="AJ42" s="30" t="str">
        <f t="shared" si="197"/>
        <v>⚠️ PEG &gt; 1 = ต้องโตให้คุ้มราคานี้</v>
      </c>
      <c r="AK42" s="30" t="str">
        <f t="shared" si="197"/>
        <v>⚠️ PEG &gt; 1 = ต้องโตให้คุ้มราคานี้</v>
      </c>
      <c r="AL42" s="30" t="str">
        <f t="shared" si="197"/>
        <v>⚠️ PEG &gt; 1 = ต้องโตให้คุ้มราคานี้</v>
      </c>
      <c r="AM42" s="30" t="str">
        <f t="shared" si="197"/>
        <v>⚠️ PEG &gt; 1 = ต้องโตให้คุ้มราคานี้</v>
      </c>
      <c r="AN42" s="30" t="str">
        <f t="shared" si="197"/>
        <v>⚠️ PEG &gt; 1 = ต้องโตให้คุ้มราคานี้</v>
      </c>
      <c r="AO42" s="30" t="str">
        <f t="shared" si="197"/>
        <v>⚠️ PEG &gt; 1 = ต้องโตให้คุ้มราคานี้</v>
      </c>
      <c r="AP42" s="30" t="str">
        <f t="shared" si="197"/>
        <v>✅ PEG &lt; 1 = โตเร็วแต่ยังถูก</v>
      </c>
      <c r="AQ42" s="30" t="str">
        <f t="shared" si="197"/>
        <v>⚠️ PEG &gt; 1 = ต้องโตให้คุ้มราคานี้</v>
      </c>
      <c r="AR42" s="30" t="str">
        <f t="shared" si="197"/>
        <v>✅ PEG &lt; 1 = โตเร็วแต่ยังถูก</v>
      </c>
      <c r="AS42" s="30" t="str">
        <f t="shared" si="197"/>
        <v>⚠️ PEG &gt; 1 = ต้องโตให้คุ้มราคานี้</v>
      </c>
      <c r="AT42" s="30" t="str">
        <f t="shared" si="197"/>
        <v>✅ PEG &lt; 1 = โตเร็วแต่ยังถูก</v>
      </c>
      <c r="AU42" s="30" t="str">
        <f t="shared" si="197"/>
        <v>⚠️ PEG &gt; 1 = ต้องโตให้คุ้มราคานี้</v>
      </c>
      <c r="AV42" s="30" t="str">
        <f t="shared" si="197"/>
        <v>⚠️ PEG &gt; 1 = ต้องโตให้คุ้มราคานี้</v>
      </c>
      <c r="AW42" s="30" t="str">
        <f t="shared" si="197"/>
        <v>⚠️ PEG &gt; 1 = ต้องโตให้คุ้มราคานี้</v>
      </c>
      <c r="AX42" s="30" t="str">
        <f t="shared" si="197"/>
        <v>⚠️ PEG &gt; 1 = ต้องโตให้คุ้มราคานี้</v>
      </c>
      <c r="AY42" s="30" t="str">
        <f t="shared" si="197"/>
        <v>⚠️ PEG &gt; 1 = ต้องโตให้คุ้มราคานี้</v>
      </c>
      <c r="AZ42" s="30" t="str">
        <f t="shared" si="197"/>
        <v>⚠️ PEG &gt; 1 = ต้องโตให้คุ้มราคานี้</v>
      </c>
      <c r="BA42" s="30" t="str">
        <f t="shared" si="197"/>
        <v>⚠️ PEG &gt; 1 = ต้องโตให้คุ้มราคานี้</v>
      </c>
      <c r="BB42" s="30" t="str">
        <f t="shared" si="197"/>
        <v>⚠️ PEG &gt; 1 = ต้องโตให้คุ้มราคานี้</v>
      </c>
      <c r="BC42" s="30" t="str">
        <f t="shared" si="197"/>
        <v>⚠️ PEG &gt; 1 = ต้องโตให้คุ้มราคานี้</v>
      </c>
      <c r="BD42" s="30" t="str">
        <f t="shared" si="197"/>
        <v>⚠️ PEG &gt; 1 = ต้องโตให้คุ้มราคานี้</v>
      </c>
      <c r="BE42" s="21" t="str">
        <f t="shared" si="197"/>
        <v>⚠️ PEG &gt; 1 = ต้องโตให้คุ้มราคานี้</v>
      </c>
      <c r="BF42" s="21" t="str">
        <f t="shared" ref="BF42:BK42" si="198">IF(BF8&lt;1,"✅ PEG &lt; 1 = โตเร็วแต่ยังถูก","⚠️ PEG &gt; 1 = ต้องโตให้คุ้มราคานี้")</f>
        <v>⚠️ PEG &gt; 1 = ต้องโตให้คุ้มราคานี้</v>
      </c>
      <c r="BG42" s="21" t="str">
        <f t="shared" si="198"/>
        <v>✅ PEG &lt; 1 = โตเร็วแต่ยังถูก</v>
      </c>
      <c r="BH42" s="21" t="str">
        <f t="shared" si="198"/>
        <v>⚠️ PEG &gt; 1 = ต้องโตให้คุ้มราคานี้</v>
      </c>
      <c r="BI42" s="21" t="str">
        <f t="shared" si="198"/>
        <v>⚠️ PEG &gt; 1 = ต้องโตให้คุ้มราคานี้</v>
      </c>
      <c r="BJ42" s="21" t="str">
        <f t="shared" si="198"/>
        <v>⚠️ PEG &gt; 1 = ต้องโตให้คุ้มราคานี้</v>
      </c>
      <c r="BK42" s="30" t="str">
        <f t="shared" si="198"/>
        <v>✅ PEG &lt; 1 = โตเร็วแต่ยังถูก</v>
      </c>
      <c r="BL42" s="30" t="str">
        <f t="shared" ref="BL42:DW42" si="199">IF(BL8&lt;1,"✅ PEG &lt; 1 = โตเร็วแต่ยังถูก","⚠️ PEG &gt; 1 = ต้องโตให้คุ้มราคานี้")</f>
        <v>✅ PEG &lt; 1 = โตเร็วแต่ยังถูก</v>
      </c>
      <c r="BM42" s="30" t="str">
        <f t="shared" si="199"/>
        <v>⚠️ PEG &gt; 1 = ต้องโตให้คุ้มราคานี้</v>
      </c>
      <c r="BN42" s="30" t="str">
        <f t="shared" si="199"/>
        <v>⚠️ PEG &gt; 1 = ต้องโตให้คุ้มราคานี้</v>
      </c>
      <c r="BO42" s="30" t="str">
        <f t="shared" si="199"/>
        <v>⚠️ PEG &gt; 1 = ต้องโตให้คุ้มราคานี้</v>
      </c>
      <c r="BP42" s="30" t="str">
        <f t="shared" si="199"/>
        <v>⚠️ PEG &gt; 1 = ต้องโตให้คุ้มราคานี้</v>
      </c>
      <c r="BQ42" s="30" t="str">
        <f t="shared" si="199"/>
        <v>⚠️ PEG &gt; 1 = ต้องโตให้คุ้มราคานี้</v>
      </c>
      <c r="BR42" s="30" t="str">
        <f t="shared" si="199"/>
        <v>⚠️ PEG &gt; 1 = ต้องโตให้คุ้มราคานี้</v>
      </c>
      <c r="BS42" s="30" t="str">
        <f t="shared" si="199"/>
        <v>⚠️ PEG &gt; 1 = ต้องโตให้คุ้มราคานี้</v>
      </c>
      <c r="BT42" s="30" t="str">
        <f t="shared" si="199"/>
        <v>⚠️ PEG &gt; 1 = ต้องโตให้คุ้มราคานี้</v>
      </c>
      <c r="BU42" s="30" t="str">
        <f t="shared" si="199"/>
        <v>⚠️ PEG &gt; 1 = ต้องโตให้คุ้มราคานี้</v>
      </c>
      <c r="BV42" s="30" t="str">
        <f t="shared" si="199"/>
        <v>✅ PEG &lt; 1 = โตเร็วแต่ยังถูก</v>
      </c>
      <c r="BW42" s="30" t="str">
        <f t="shared" si="199"/>
        <v>⚠️ PEG &gt; 1 = ต้องโตให้คุ้มราคานี้</v>
      </c>
      <c r="BX42" s="30" t="str">
        <f t="shared" si="199"/>
        <v>⚠️ PEG &gt; 1 = ต้องโตให้คุ้มราคานี้</v>
      </c>
      <c r="BY42" s="30" t="str">
        <f t="shared" si="199"/>
        <v>⚠️ PEG &gt; 1 = ต้องโตให้คุ้มราคานี้</v>
      </c>
      <c r="BZ42" s="30" t="str">
        <f t="shared" si="199"/>
        <v>⚠️ PEG &gt; 1 = ต้องโตให้คุ้มราคานี้</v>
      </c>
      <c r="CA42" s="30" t="str">
        <f t="shared" si="199"/>
        <v>⚠️ PEG &gt; 1 = ต้องโตให้คุ้มราคานี้</v>
      </c>
      <c r="CB42" s="30" t="str">
        <f t="shared" si="199"/>
        <v>✅ PEG &lt; 1 = โตเร็วแต่ยังถูก</v>
      </c>
      <c r="CC42" s="30" t="str">
        <f t="shared" si="199"/>
        <v>⚠️ PEG &gt; 1 = ต้องโตให้คุ้มราคานี้</v>
      </c>
      <c r="CD42" s="30" t="str">
        <f t="shared" si="199"/>
        <v>⚠️ PEG &gt; 1 = ต้องโตให้คุ้มราคานี้</v>
      </c>
      <c r="CE42" s="30" t="str">
        <f t="shared" si="199"/>
        <v>⚠️ PEG &gt; 1 = ต้องโตให้คุ้มราคานี้</v>
      </c>
      <c r="CF42" s="30" t="str">
        <f t="shared" si="199"/>
        <v>⚠️ PEG &gt; 1 = ต้องโตให้คุ้มราคานี้</v>
      </c>
      <c r="CG42" s="30" t="str">
        <f t="shared" si="199"/>
        <v>⚠️ PEG &gt; 1 = ต้องโตให้คุ้มราคานี้</v>
      </c>
      <c r="CH42" s="30" t="str">
        <f t="shared" si="199"/>
        <v>✅ PEG &lt; 1 = โตเร็วแต่ยังถูก</v>
      </c>
      <c r="CI42" s="30" t="str">
        <f t="shared" si="199"/>
        <v>⚠️ PEG &gt; 1 = ต้องโตให้คุ้มราคานี้</v>
      </c>
      <c r="CJ42" s="30" t="str">
        <f t="shared" si="199"/>
        <v>⚠️ PEG &gt; 1 = ต้องโตให้คุ้มราคานี้</v>
      </c>
      <c r="CK42" s="30" t="str">
        <f t="shared" si="199"/>
        <v>⚠️ PEG &gt; 1 = ต้องโตให้คุ้มราคานี้</v>
      </c>
      <c r="CL42" s="30" t="str">
        <f t="shared" si="199"/>
        <v>✅ PEG &lt; 1 = โตเร็วแต่ยังถูก</v>
      </c>
      <c r="CM42" s="30" t="str">
        <f t="shared" si="199"/>
        <v>⚠️ PEG &gt; 1 = ต้องโตให้คุ้มราคานี้</v>
      </c>
      <c r="CN42" s="30" t="str">
        <f t="shared" si="199"/>
        <v>⚠️ PEG &gt; 1 = ต้องโตให้คุ้มราคานี้</v>
      </c>
      <c r="CO42" s="30" t="str">
        <f t="shared" si="199"/>
        <v>⚠️ PEG &gt; 1 = ต้องโตให้คุ้มราคานี้</v>
      </c>
      <c r="CP42" s="30" t="str">
        <f t="shared" si="199"/>
        <v>⚠️ PEG &gt; 1 = ต้องโตให้คุ้มราคานี้</v>
      </c>
      <c r="CQ42" s="30" t="str">
        <f t="shared" si="199"/>
        <v>⚠️ PEG &gt; 1 = ต้องโตให้คุ้มราคานี้</v>
      </c>
      <c r="CR42" s="30" t="str">
        <f t="shared" si="199"/>
        <v>⚠️ PEG &gt; 1 = ต้องโตให้คุ้มราคานี้</v>
      </c>
      <c r="CS42" s="30" t="str">
        <f t="shared" si="199"/>
        <v>⚠️ PEG &gt; 1 = ต้องโตให้คุ้มราคานี้</v>
      </c>
      <c r="CT42" s="30" t="str">
        <f t="shared" si="199"/>
        <v>⚠️ PEG &gt; 1 = ต้องโตให้คุ้มราคานี้</v>
      </c>
      <c r="CU42" s="30" t="str">
        <f t="shared" si="199"/>
        <v>⚠️ PEG &gt; 1 = ต้องโตให้คุ้มราคานี้</v>
      </c>
      <c r="CV42" s="30" t="str">
        <f t="shared" si="199"/>
        <v>✅ PEG &lt; 1 = โตเร็วแต่ยังถูก</v>
      </c>
      <c r="CW42" s="30" t="str">
        <f t="shared" si="199"/>
        <v>⚠️ PEG &gt; 1 = ต้องโตให้คุ้มราคานี้</v>
      </c>
      <c r="CX42" s="30" t="str">
        <f t="shared" si="199"/>
        <v>⚠️ PEG &gt; 1 = ต้องโตให้คุ้มราคานี้</v>
      </c>
      <c r="CY42" s="30" t="str">
        <f t="shared" si="199"/>
        <v>⚠️ PEG &gt; 1 = ต้องโตให้คุ้มราคานี้</v>
      </c>
      <c r="CZ42" s="30" t="str">
        <f t="shared" si="199"/>
        <v>✅ PEG &lt; 1 = โตเร็วแต่ยังถูก</v>
      </c>
      <c r="DA42" s="30" t="str">
        <f t="shared" si="199"/>
        <v>⚠️ PEG &gt; 1 = ต้องโตให้คุ้มราคานี้</v>
      </c>
      <c r="DB42" s="30" t="str">
        <f t="shared" si="199"/>
        <v>⚠️ PEG &gt; 1 = ต้องโตให้คุ้มราคานี้</v>
      </c>
      <c r="DC42" s="30" t="str">
        <f t="shared" si="199"/>
        <v>✅ PEG &lt; 1 = โตเร็วแต่ยังถูก</v>
      </c>
      <c r="DD42" s="30" t="str">
        <f t="shared" si="199"/>
        <v>⚠️ PEG &gt; 1 = ต้องโตให้คุ้มราคานี้</v>
      </c>
      <c r="DE42" s="30" t="str">
        <f t="shared" si="199"/>
        <v>⚠️ PEG &gt; 1 = ต้องโตให้คุ้มราคานี้</v>
      </c>
      <c r="DF42" s="30" t="str">
        <f t="shared" si="199"/>
        <v>⚠️ PEG &gt; 1 = ต้องโตให้คุ้มราคานี้</v>
      </c>
      <c r="DG42" s="30" t="str">
        <f t="shared" si="199"/>
        <v>⚠️ PEG &gt; 1 = ต้องโตให้คุ้มราคานี้</v>
      </c>
      <c r="DH42" s="30" t="str">
        <f t="shared" si="199"/>
        <v>✅ PEG &lt; 1 = โตเร็วแต่ยังถูก</v>
      </c>
      <c r="DI42" s="30" t="str">
        <f t="shared" si="199"/>
        <v>⚠️ PEG &gt; 1 = ต้องโตให้คุ้มราคานี้</v>
      </c>
      <c r="DJ42" s="30" t="str">
        <f t="shared" si="199"/>
        <v>⚠️ PEG &gt; 1 = ต้องโตให้คุ้มราคานี้</v>
      </c>
      <c r="DK42" s="30" t="str">
        <f t="shared" si="199"/>
        <v>✅ PEG &lt; 1 = โตเร็วแต่ยังถูก</v>
      </c>
      <c r="DL42" s="30" t="str">
        <f t="shared" si="199"/>
        <v>⚠️ PEG &gt; 1 = ต้องโตให้คุ้มราคานี้</v>
      </c>
      <c r="DM42" s="30" t="str">
        <f t="shared" si="199"/>
        <v>⚠️ PEG &gt; 1 = ต้องโตให้คุ้มราคานี้</v>
      </c>
      <c r="DN42" s="30" t="str">
        <f t="shared" si="199"/>
        <v>⚠️ PEG &gt; 1 = ต้องโตให้คุ้มราคานี้</v>
      </c>
      <c r="DO42" s="30" t="str">
        <f t="shared" si="199"/>
        <v>⚠️ PEG &gt; 1 = ต้องโตให้คุ้มราคานี้</v>
      </c>
      <c r="DP42" s="30" t="str">
        <f t="shared" si="199"/>
        <v>⚠️ PEG &gt; 1 = ต้องโตให้คุ้มราคานี้</v>
      </c>
      <c r="DQ42" s="30" t="str">
        <f t="shared" si="199"/>
        <v>⚠️ PEG &gt; 1 = ต้องโตให้คุ้มราคานี้</v>
      </c>
      <c r="DR42" s="30" t="str">
        <f t="shared" si="199"/>
        <v>✅ PEG &lt; 1 = โตเร็วแต่ยังถูก</v>
      </c>
      <c r="DS42" s="30" t="str">
        <f t="shared" si="199"/>
        <v>✅ PEG &lt; 1 = โตเร็วแต่ยังถูก</v>
      </c>
      <c r="DT42" s="30" t="str">
        <f t="shared" si="199"/>
        <v>⚠️ PEG &gt; 1 = ต้องโตให้คุ้มราคานี้</v>
      </c>
      <c r="DU42" s="30" t="str">
        <f t="shared" si="199"/>
        <v>✅ PEG &lt; 1 = โตเร็วแต่ยังถูก</v>
      </c>
      <c r="DV42" s="30" t="str">
        <f t="shared" si="199"/>
        <v>⚠️ PEG &gt; 1 = ต้องโตให้คุ้มราคานี้</v>
      </c>
      <c r="DW42" s="30" t="str">
        <f t="shared" si="199"/>
        <v>⚠️ PEG &gt; 1 = ต้องโตให้คุ้มราคานี้</v>
      </c>
      <c r="DX42" s="30" t="str">
        <f t="shared" ref="DX42:FA42" si="200">IF(DX8&lt;1,"✅ PEG &lt; 1 = โตเร็วแต่ยังถูก","⚠️ PEG &gt; 1 = ต้องโตให้คุ้มราคานี้")</f>
        <v>⚠️ PEG &gt; 1 = ต้องโตให้คุ้มราคานี้</v>
      </c>
      <c r="DY42" s="30" t="str">
        <f t="shared" si="200"/>
        <v>✅ PEG &lt; 1 = โตเร็วแต่ยังถูก</v>
      </c>
      <c r="DZ42" s="30" t="str">
        <f t="shared" si="200"/>
        <v>✅ PEG &lt; 1 = โตเร็วแต่ยังถูก</v>
      </c>
      <c r="EA42" s="30" t="str">
        <f t="shared" si="200"/>
        <v>⚠️ PEG &gt; 1 = ต้องโตให้คุ้มราคานี้</v>
      </c>
      <c r="EB42" s="30" t="str">
        <f t="shared" si="200"/>
        <v>⚠️ PEG &gt; 1 = ต้องโตให้คุ้มราคานี้</v>
      </c>
      <c r="EC42" s="30" t="str">
        <f t="shared" si="200"/>
        <v>⚠️ PEG &gt; 1 = ต้องโตให้คุ้มราคานี้</v>
      </c>
      <c r="ED42" s="30" t="str">
        <f t="shared" si="200"/>
        <v>✅ PEG &lt; 1 = โตเร็วแต่ยังถูก</v>
      </c>
      <c r="EE42" s="30" t="str">
        <f t="shared" si="200"/>
        <v>⚠️ PEG &gt; 1 = ต้องโตให้คุ้มราคานี้</v>
      </c>
      <c r="EF42" s="30" t="str">
        <f t="shared" si="200"/>
        <v>⚠️ PEG &gt; 1 = ต้องโตให้คุ้มราคานี้</v>
      </c>
      <c r="EG42" s="30" t="str">
        <f t="shared" si="200"/>
        <v>⚠️ PEG &gt; 1 = ต้องโตให้คุ้มราคานี้</v>
      </c>
      <c r="EH42" s="30" t="str">
        <f t="shared" si="200"/>
        <v>⚠️ PEG &gt; 1 = ต้องโตให้คุ้มราคานี้</v>
      </c>
      <c r="EI42" s="30" t="str">
        <f t="shared" si="200"/>
        <v>⚠️ PEG &gt; 1 = ต้องโตให้คุ้มราคานี้</v>
      </c>
      <c r="EJ42" s="30" t="str">
        <f t="shared" si="200"/>
        <v>⚠️ PEG &gt; 1 = ต้องโตให้คุ้มราคานี้</v>
      </c>
      <c r="EK42" s="30" t="str">
        <f t="shared" si="200"/>
        <v>⚠️ PEG &gt; 1 = ต้องโตให้คุ้มราคานี้</v>
      </c>
      <c r="EL42" s="30" t="str">
        <f t="shared" si="200"/>
        <v>⚠️ PEG &gt; 1 = ต้องโตให้คุ้มราคานี้</v>
      </c>
      <c r="EM42" s="30" t="str">
        <f t="shared" si="200"/>
        <v>⚠️ PEG &gt; 1 = ต้องโตให้คุ้มราคานี้</v>
      </c>
      <c r="EN42" s="30" t="str">
        <f t="shared" si="200"/>
        <v>⚠️ PEG &gt; 1 = ต้องโตให้คุ้มราคานี้</v>
      </c>
      <c r="EO42" s="44" t="str">
        <f t="shared" si="200"/>
        <v>⚠️ PEG &gt; 1 = ต้องโตให้คุ้มราคานี้</v>
      </c>
      <c r="EZ42" s="41" t="str">
        <f t="shared" si="200"/>
        <v>✅ PEG &lt; 1 = โตเร็วแต่ยังถูก</v>
      </c>
      <c r="FA42" s="30" t="str">
        <f t="shared" si="200"/>
        <v>✅ PEG &lt; 1 = โตเร็วแต่ยังถูก</v>
      </c>
      <c r="FB42" s="30" t="str">
        <f t="shared" ref="FB42:HM42" si="201">IF(FB8&lt;1,"✅ PEG &lt; 1 = โตเร็วแต่ยังถูก","⚠️ PEG &gt; 1 = ต้องโตให้คุ้มราคานี้")</f>
        <v>✅ PEG &lt; 1 = โตเร็วแต่ยังถูก</v>
      </c>
      <c r="FC42" s="30" t="str">
        <f t="shared" si="201"/>
        <v>✅ PEG &lt; 1 = โตเร็วแต่ยังถูก</v>
      </c>
      <c r="FD42" s="30" t="str">
        <f t="shared" si="201"/>
        <v>✅ PEG &lt; 1 = โตเร็วแต่ยังถูก</v>
      </c>
      <c r="FE42" s="30" t="str">
        <f t="shared" si="201"/>
        <v>✅ PEG &lt; 1 = โตเร็วแต่ยังถูก</v>
      </c>
      <c r="FF42" s="30" t="str">
        <f t="shared" si="201"/>
        <v>⚠️ PEG &gt; 1 = ต้องโตให้คุ้มราคานี้</v>
      </c>
      <c r="FG42" s="30" t="str">
        <f t="shared" si="201"/>
        <v>✅ PEG &lt; 1 = โตเร็วแต่ยังถูก</v>
      </c>
      <c r="FH42" s="30" t="str">
        <f t="shared" si="201"/>
        <v>✅ PEG &lt; 1 = โตเร็วแต่ยังถูก</v>
      </c>
      <c r="FI42" s="30" t="str">
        <f t="shared" si="201"/>
        <v>⚠️ PEG &gt; 1 = ต้องโตให้คุ้มราคานี้</v>
      </c>
      <c r="FJ42" s="30" t="str">
        <f t="shared" si="201"/>
        <v>⚠️ PEG &gt; 1 = ต้องโตให้คุ้มราคานี้</v>
      </c>
      <c r="FK42" s="30" t="str">
        <f t="shared" si="201"/>
        <v>✅ PEG &lt; 1 = โตเร็วแต่ยังถูก</v>
      </c>
      <c r="FL42" s="30" t="str">
        <f t="shared" si="201"/>
        <v>✅ PEG &lt; 1 = โตเร็วแต่ยังถูก</v>
      </c>
      <c r="FM42" s="30" t="str">
        <f t="shared" si="201"/>
        <v>✅ PEG &lt; 1 = โตเร็วแต่ยังถูก</v>
      </c>
      <c r="FN42" s="30" t="str">
        <f t="shared" si="201"/>
        <v>✅ PEG &lt; 1 = โตเร็วแต่ยังถูก</v>
      </c>
      <c r="FO42" s="30" t="str">
        <f t="shared" si="201"/>
        <v>✅ PEG &lt; 1 = โตเร็วแต่ยังถูก</v>
      </c>
      <c r="FP42" s="30" t="str">
        <f t="shared" si="201"/>
        <v>✅ PEG &lt; 1 = โตเร็วแต่ยังถูก</v>
      </c>
      <c r="FQ42" s="30" t="str">
        <f t="shared" si="201"/>
        <v>✅ PEG &lt; 1 = โตเร็วแต่ยังถูก</v>
      </c>
      <c r="FR42" s="30" t="str">
        <f t="shared" si="201"/>
        <v>✅ PEG &lt; 1 = โตเร็วแต่ยังถูก</v>
      </c>
      <c r="FS42" s="30" t="str">
        <f t="shared" si="201"/>
        <v>⚠️ PEG &gt; 1 = ต้องโตให้คุ้มราคานี้</v>
      </c>
      <c r="FT42" s="30" t="str">
        <f t="shared" si="201"/>
        <v>⚠️ PEG &gt; 1 = ต้องโตให้คุ้มราคานี้</v>
      </c>
      <c r="FU42" s="30" t="str">
        <f t="shared" si="201"/>
        <v>⚠️ PEG &gt; 1 = ต้องโตให้คุ้มราคานี้</v>
      </c>
      <c r="FV42" s="30" t="str">
        <f t="shared" si="201"/>
        <v>⚠️ PEG &gt; 1 = ต้องโตให้คุ้มราคานี้</v>
      </c>
      <c r="FW42" s="30" t="str">
        <f t="shared" si="201"/>
        <v>✅ PEG &lt; 1 = โตเร็วแต่ยังถูก</v>
      </c>
      <c r="FX42" s="30" t="str">
        <f t="shared" si="201"/>
        <v>✅ PEG &lt; 1 = โตเร็วแต่ยังถูก</v>
      </c>
      <c r="FY42" s="30" t="str">
        <f t="shared" si="201"/>
        <v>⚠️ PEG &gt; 1 = ต้องโตให้คุ้มราคานี้</v>
      </c>
      <c r="FZ42" s="30" t="str">
        <f t="shared" si="201"/>
        <v>⚠️ PEG &gt; 1 = ต้องโตให้คุ้มราคานี้</v>
      </c>
      <c r="GA42" s="30" t="str">
        <f t="shared" si="201"/>
        <v>⚠️ PEG &gt; 1 = ต้องโตให้คุ้มราคานี้</v>
      </c>
      <c r="GB42" s="30" t="str">
        <f t="shared" si="201"/>
        <v>✅ PEG &lt; 1 = โตเร็วแต่ยังถูก</v>
      </c>
      <c r="GC42" s="30" t="str">
        <f t="shared" si="201"/>
        <v>⚠️ PEG &gt; 1 = ต้องโตให้คุ้มราคานี้</v>
      </c>
      <c r="GD42" s="30" t="str">
        <f t="shared" si="201"/>
        <v>✅ PEG &lt; 1 = โตเร็วแต่ยังถูก</v>
      </c>
      <c r="GE42" s="30" t="str">
        <f t="shared" si="201"/>
        <v>⚠️ PEG &gt; 1 = ต้องโตให้คุ้มราคานี้</v>
      </c>
      <c r="GF42" s="30" t="str">
        <f t="shared" si="201"/>
        <v>⚠️ PEG &gt; 1 = ต้องโตให้คุ้มราคานี้</v>
      </c>
      <c r="GG42" s="30" t="str">
        <f t="shared" si="201"/>
        <v>⚠️ PEG &gt; 1 = ต้องโตให้คุ้มราคานี้</v>
      </c>
      <c r="GH42" s="30" t="str">
        <f t="shared" si="201"/>
        <v>⚠️ PEG &gt; 1 = ต้องโตให้คุ้มราคานี้</v>
      </c>
      <c r="GI42" s="30" t="str">
        <f t="shared" si="201"/>
        <v>⚠️ PEG &gt; 1 = ต้องโตให้คุ้มราคานี้</v>
      </c>
      <c r="GJ42" s="30" t="str">
        <f t="shared" si="201"/>
        <v>✅ PEG &lt; 1 = โตเร็วแต่ยังถูก</v>
      </c>
      <c r="GK42" s="30" t="str">
        <f t="shared" si="201"/>
        <v>✅ PEG &lt; 1 = โตเร็วแต่ยังถูก</v>
      </c>
      <c r="GL42" s="30" t="str">
        <f t="shared" si="201"/>
        <v>✅ PEG &lt; 1 = โตเร็วแต่ยังถูก</v>
      </c>
      <c r="GM42" s="30" t="str">
        <f t="shared" si="201"/>
        <v>✅ PEG &lt; 1 = โตเร็วแต่ยังถูก</v>
      </c>
      <c r="GN42" s="30" t="str">
        <f t="shared" si="201"/>
        <v>✅ PEG &lt; 1 = โตเร็วแต่ยังถูก</v>
      </c>
      <c r="GO42" s="30" t="str">
        <f t="shared" si="201"/>
        <v>⚠️ PEG &gt; 1 = ต้องโตให้คุ้มราคานี้</v>
      </c>
      <c r="GP42" s="30" t="str">
        <f t="shared" si="201"/>
        <v>⚠️ PEG &gt; 1 = ต้องโตให้คุ้มราคานี้</v>
      </c>
      <c r="GQ42" s="30" t="str">
        <f t="shared" si="201"/>
        <v>⚠️ PEG &gt; 1 = ต้องโตให้คุ้มราคานี้</v>
      </c>
      <c r="GR42" s="30" t="str">
        <f t="shared" si="201"/>
        <v>✅ PEG &lt; 1 = โตเร็วแต่ยังถูก</v>
      </c>
      <c r="GS42" s="30" t="str">
        <f t="shared" si="201"/>
        <v>⚠️ PEG &gt; 1 = ต้องโตให้คุ้มราคานี้</v>
      </c>
      <c r="GT42" s="30" t="str">
        <f t="shared" si="201"/>
        <v>⚠️ PEG &gt; 1 = ต้องโตให้คุ้มราคานี้</v>
      </c>
      <c r="GU42" s="30" t="str">
        <f t="shared" si="201"/>
        <v>⚠️ PEG &gt; 1 = ต้องโตให้คุ้มราคานี้</v>
      </c>
      <c r="GV42" s="30" t="str">
        <f t="shared" si="201"/>
        <v>⚠️ PEG &gt; 1 = ต้องโตให้คุ้มราคานี้</v>
      </c>
      <c r="GW42" s="30" t="str">
        <f t="shared" si="201"/>
        <v>⚠️ PEG &gt; 1 = ต้องโตให้คุ้มราคานี้</v>
      </c>
      <c r="GX42" s="30" t="str">
        <f t="shared" si="201"/>
        <v>⚠️ PEG &gt; 1 = ต้องโตให้คุ้มราคานี้</v>
      </c>
      <c r="GY42" s="30" t="str">
        <f t="shared" si="201"/>
        <v>⚠️ PEG &gt; 1 = ต้องโตให้คุ้มราคานี้</v>
      </c>
      <c r="GZ42" s="30" t="str">
        <f t="shared" si="201"/>
        <v>⚠️ PEG &gt; 1 = ต้องโตให้คุ้มราคานี้</v>
      </c>
      <c r="HA42" s="30" t="str">
        <f t="shared" si="201"/>
        <v>⚠️ PEG &gt; 1 = ต้องโตให้คุ้มราคานี้</v>
      </c>
      <c r="HB42" s="30" t="str">
        <f t="shared" si="201"/>
        <v>⚠️ PEG &gt; 1 = ต้องโตให้คุ้มราคานี้</v>
      </c>
      <c r="HC42" s="30" t="str">
        <f t="shared" si="201"/>
        <v>⚠️ PEG &gt; 1 = ต้องโตให้คุ้มราคานี้</v>
      </c>
      <c r="HD42" s="30" t="str">
        <f t="shared" si="201"/>
        <v>⚠️ PEG &gt; 1 = ต้องโตให้คุ้มราคานี้</v>
      </c>
      <c r="HE42" s="30" t="str">
        <f t="shared" si="201"/>
        <v>⚠️ PEG &gt; 1 = ต้องโตให้คุ้มราคานี้</v>
      </c>
      <c r="HF42" s="30" t="str">
        <f t="shared" si="201"/>
        <v>⚠️ PEG &gt; 1 = ต้องโตให้คุ้มราคานี้</v>
      </c>
      <c r="HG42" s="30" t="str">
        <f t="shared" si="201"/>
        <v>✅ PEG &lt; 1 = โตเร็วแต่ยังถูก</v>
      </c>
      <c r="HH42" s="30" t="str">
        <f t="shared" si="201"/>
        <v>⚠️ PEG &gt; 1 = ต้องโตให้คุ้มราคานี้</v>
      </c>
      <c r="HI42" s="21" t="str">
        <f t="shared" si="201"/>
        <v>⚠️ PEG &gt; 1 = ต้องโตให้คุ้มราคานี้</v>
      </c>
      <c r="HJ42" s="21" t="str">
        <f t="shared" si="201"/>
        <v>⚠️ PEG &gt; 1 = ต้องโตให้คุ้มราคานี้</v>
      </c>
      <c r="HK42" s="21" t="str">
        <f t="shared" si="201"/>
        <v>⚠️ PEG &gt; 1 = ต้องโตให้คุ้มราคานี้</v>
      </c>
      <c r="HL42" s="21" t="str">
        <f t="shared" si="201"/>
        <v>⚠️ PEG &gt; 1 = ต้องโตให้คุ้มราคานี้</v>
      </c>
      <c r="HM42" s="21" t="str">
        <f t="shared" si="201"/>
        <v>⚠️ PEG &gt; 1 = ต้องโตให้คุ้มราคานี้</v>
      </c>
      <c r="HN42" s="21" t="str">
        <f t="shared" ref="HN42:HV42" si="202">IF(HN8&lt;1,"✅ PEG &lt; 1 = โตเร็วแต่ยังถูก","⚠️ PEG &gt; 1 = ต้องโตให้คุ้มราคานี้")</f>
        <v>⚠️ PEG &gt; 1 = ต้องโตให้คุ้มราคานี้</v>
      </c>
      <c r="HO42" s="21" t="str">
        <f t="shared" si="202"/>
        <v>⚠️ PEG &gt; 1 = ต้องโตให้คุ้มราคานี้</v>
      </c>
      <c r="HP42" s="21" t="str">
        <f t="shared" si="202"/>
        <v>⚠️ PEG &gt; 1 = ต้องโตให้คุ้มราคานี้</v>
      </c>
      <c r="HQ42" s="21" t="str">
        <f t="shared" si="202"/>
        <v>⚠️ PEG &gt; 1 = ต้องโตให้คุ้มราคานี้</v>
      </c>
      <c r="HR42" s="21" t="str">
        <f t="shared" si="202"/>
        <v>✅ PEG &lt; 1 = โตเร็วแต่ยังถูก</v>
      </c>
      <c r="HS42" s="21" t="str">
        <f t="shared" si="202"/>
        <v>⚠️ PEG &gt; 1 = ต้องโตให้คุ้มราคานี้</v>
      </c>
      <c r="HT42" s="21" t="str">
        <f t="shared" si="202"/>
        <v>⚠️ PEG &gt; 1 = ต้องโตให้คุ้มราคานี้</v>
      </c>
      <c r="HU42" s="21" t="str">
        <f t="shared" si="202"/>
        <v>⚠️ PEG &gt; 1 = ต้องโตให้คุ้มราคานี้</v>
      </c>
      <c r="HV42" s="21" t="str">
        <f t="shared" si="202"/>
        <v>⚠️ PEG &gt; 1 = ต้องโตให้คุ้มราคานี้</v>
      </c>
      <c r="HW42" s="30" t="str">
        <f t="shared" ref="HW42:HX42" si="203">IF(HW8&lt;1,"✅ PEG &lt; 1 = โตเร็วแต่ยังถูก","⚠️ PEG &gt; 1 = ต้องโตให้คุ้มราคานี้")</f>
        <v>✅ PEG &lt; 1 = โตเร็วแต่ยังถูก</v>
      </c>
      <c r="HX42" s="30" t="str">
        <f t="shared" ref="HX42:HY42" si="204">IF(HX8&lt;1,"✅ PEG &lt; 1 = โตเร็วแต่ยังถูก","⚠️ PEG &gt; 1 = ต้องโตให้คุ้มราคานี้")</f>
        <v>⚠️ PEG &gt; 1 = ต้องโตให้คุ้มราคานี้</v>
      </c>
      <c r="HY42" s="30" t="str">
        <f t="shared" si="204"/>
        <v>⚠️ PEG &gt; 1 = ต้องโตให้คุ้มราคานี้</v>
      </c>
    </row>
    <row r="43" spans="1:233" ht="24" customHeight="1" x14ac:dyDescent="0.5">
      <c r="A43" s="51"/>
      <c r="B43" s="21" t="str">
        <f t="shared" ref="B43:C43" si="205">IF(B18 &gt; B19, "✅ เพิ่มมูลค่า (ROIC &gt; WACC)", "⚠️ ทำลายมูลค่า (ROIC &lt; WACC)")</f>
        <v>⚠️ ทำลายมูลค่า (ROIC &lt; WACC)</v>
      </c>
      <c r="C43" s="30" t="str">
        <f t="shared" si="205"/>
        <v>✅ เพิ่มมูลค่า (ROIC &gt; WACC)</v>
      </c>
      <c r="D43" s="30" t="str">
        <f t="shared" ref="D43:AB43" si="206">IF(D18 &gt; D19, "✅ เพิ่มมูลค่า (ROIC &gt; WACC)", "⚠️ ทำลายมูลค่า (ROIC &lt; WACC)")</f>
        <v>✅ เพิ่มมูลค่า (ROIC &gt; WACC)</v>
      </c>
      <c r="E43" s="30" t="str">
        <f t="shared" si="206"/>
        <v>⚠️ ทำลายมูลค่า (ROIC &lt; WACC)</v>
      </c>
      <c r="F43" s="30" t="str">
        <f t="shared" si="206"/>
        <v>⚠️ ทำลายมูลค่า (ROIC &lt; WACC)</v>
      </c>
      <c r="G43" s="30" t="str">
        <f t="shared" si="206"/>
        <v>⚠️ ทำลายมูลค่า (ROIC &lt; WACC)</v>
      </c>
      <c r="H43" s="30" t="str">
        <f t="shared" si="206"/>
        <v>⚠️ ทำลายมูลค่า (ROIC &lt; WACC)</v>
      </c>
      <c r="I43" s="30" t="str">
        <f t="shared" si="206"/>
        <v>✅ เพิ่มมูลค่า (ROIC &gt; WACC)</v>
      </c>
      <c r="J43" s="30" t="str">
        <f t="shared" si="206"/>
        <v>✅ เพิ่มมูลค่า (ROIC &gt; WACC)</v>
      </c>
      <c r="K43" s="30" t="str">
        <f t="shared" si="206"/>
        <v>✅ เพิ่มมูลค่า (ROIC &gt; WACC)</v>
      </c>
      <c r="L43" s="30" t="str">
        <f t="shared" si="206"/>
        <v>✅ เพิ่มมูลค่า (ROIC &gt; WACC)</v>
      </c>
      <c r="M43" s="30" t="str">
        <f t="shared" si="206"/>
        <v>✅ เพิ่มมูลค่า (ROIC &gt; WACC)</v>
      </c>
      <c r="N43" s="30" t="str">
        <f t="shared" si="206"/>
        <v>✅ เพิ่มมูลค่า (ROIC &gt; WACC)</v>
      </c>
      <c r="O43" s="30" t="str">
        <f t="shared" si="206"/>
        <v>✅ เพิ่มมูลค่า (ROIC &gt; WACC)</v>
      </c>
      <c r="P43" s="30" t="str">
        <f t="shared" si="206"/>
        <v>✅ เพิ่มมูลค่า (ROIC &gt; WACC)</v>
      </c>
      <c r="Q43" s="30" t="str">
        <f t="shared" si="206"/>
        <v>✅ เพิ่มมูลค่า (ROIC &gt; WACC)</v>
      </c>
      <c r="R43" s="30" t="str">
        <f t="shared" si="206"/>
        <v>⚠️ ทำลายมูลค่า (ROIC &lt; WACC)</v>
      </c>
      <c r="S43" s="30" t="str">
        <f t="shared" si="206"/>
        <v>✅ เพิ่มมูลค่า (ROIC &gt; WACC)</v>
      </c>
      <c r="T43" s="30" t="str">
        <f t="shared" si="206"/>
        <v>✅ เพิ่มมูลค่า (ROIC &gt; WACC)</v>
      </c>
      <c r="U43" s="30" t="str">
        <f t="shared" si="206"/>
        <v>✅ เพิ่มมูลค่า (ROIC &gt; WACC)</v>
      </c>
      <c r="V43" s="30" t="str">
        <f t="shared" si="206"/>
        <v>✅ เพิ่มมูลค่า (ROIC &gt; WACC)</v>
      </c>
      <c r="W43" s="30" t="str">
        <f t="shared" si="206"/>
        <v>✅ เพิ่มมูลค่า (ROIC &gt; WACC)</v>
      </c>
      <c r="X43" s="30" t="str">
        <f t="shared" si="206"/>
        <v>✅ เพิ่มมูลค่า (ROIC &gt; WACC)</v>
      </c>
      <c r="Y43" s="30" t="str">
        <f t="shared" si="206"/>
        <v>✅ เพิ่มมูลค่า (ROIC &gt; WACC)</v>
      </c>
      <c r="Z43" s="30" t="str">
        <f t="shared" si="206"/>
        <v>✅ เพิ่มมูลค่า (ROIC &gt; WACC)</v>
      </c>
      <c r="AA43" s="30" t="str">
        <f t="shared" si="206"/>
        <v>✅ เพิ่มมูลค่า (ROIC &gt; WACC)</v>
      </c>
      <c r="AB43" s="30" t="str">
        <f t="shared" si="206"/>
        <v>✅ เพิ่มมูลค่า (ROIC &gt; WACC)</v>
      </c>
      <c r="AC43" s="30" t="str">
        <f t="shared" ref="AC43:BE43" si="207">IF(AC18 &gt; AC19, "✅ เพิ่มมูลค่า (ROIC &gt; WACC)", "⚠️ ทำลายมูลค่า (ROIC &lt; WACC)")</f>
        <v>✅ เพิ่มมูลค่า (ROIC &gt; WACC)</v>
      </c>
      <c r="AD43" s="30" t="str">
        <f t="shared" si="207"/>
        <v>✅ เพิ่มมูลค่า (ROIC &gt; WACC)</v>
      </c>
      <c r="AE43" s="30" t="str">
        <f t="shared" si="207"/>
        <v>⚠️ ทำลายมูลค่า (ROIC &lt; WACC)</v>
      </c>
      <c r="AF43" s="30" t="str">
        <f t="shared" si="207"/>
        <v>✅ เพิ่มมูลค่า (ROIC &gt; WACC)</v>
      </c>
      <c r="AG43" s="30" t="str">
        <f t="shared" si="207"/>
        <v>✅ เพิ่มมูลค่า (ROIC &gt; WACC)</v>
      </c>
      <c r="AH43" s="30" t="str">
        <f t="shared" si="207"/>
        <v>✅ เพิ่มมูลค่า (ROIC &gt; WACC)</v>
      </c>
      <c r="AI43" s="30" t="str">
        <f t="shared" si="207"/>
        <v>✅ เพิ่มมูลค่า (ROIC &gt; WACC)</v>
      </c>
      <c r="AJ43" s="30" t="str">
        <f t="shared" si="207"/>
        <v>✅ เพิ่มมูลค่า (ROIC &gt; WACC)</v>
      </c>
      <c r="AK43" s="30" t="str">
        <f t="shared" si="207"/>
        <v>✅ เพิ่มมูลค่า (ROIC &gt; WACC)</v>
      </c>
      <c r="AL43" s="30" t="str">
        <f t="shared" si="207"/>
        <v>✅ เพิ่มมูลค่า (ROIC &gt; WACC)</v>
      </c>
      <c r="AM43" s="30" t="str">
        <f t="shared" si="207"/>
        <v>✅ เพิ่มมูลค่า (ROIC &gt; WACC)</v>
      </c>
      <c r="AN43" s="30" t="str">
        <f t="shared" si="207"/>
        <v>✅ เพิ่มมูลค่า (ROIC &gt; WACC)</v>
      </c>
      <c r="AO43" s="30" t="str">
        <f t="shared" si="207"/>
        <v>✅ เพิ่มมูลค่า (ROIC &gt; WACC)</v>
      </c>
      <c r="AP43" s="30" t="str">
        <f t="shared" si="207"/>
        <v>✅ เพิ่มมูลค่า (ROIC &gt; WACC)</v>
      </c>
      <c r="AQ43" s="30" t="str">
        <f t="shared" si="207"/>
        <v>✅ เพิ่มมูลค่า (ROIC &gt; WACC)</v>
      </c>
      <c r="AR43" s="30" t="str">
        <f t="shared" si="207"/>
        <v>⚠️ ทำลายมูลค่า (ROIC &lt; WACC)</v>
      </c>
      <c r="AS43" s="30" t="str">
        <f t="shared" si="207"/>
        <v>✅ เพิ่มมูลค่า (ROIC &gt; WACC)</v>
      </c>
      <c r="AT43" s="30" t="str">
        <f t="shared" si="207"/>
        <v>✅ เพิ่มมูลค่า (ROIC &gt; WACC)</v>
      </c>
      <c r="AU43" s="30" t="str">
        <f t="shared" si="207"/>
        <v>✅ เพิ่มมูลค่า (ROIC &gt; WACC)</v>
      </c>
      <c r="AV43" s="30" t="str">
        <f t="shared" si="207"/>
        <v>✅ เพิ่มมูลค่า (ROIC &gt; WACC)</v>
      </c>
      <c r="AW43" s="30" t="str">
        <f t="shared" si="207"/>
        <v>⚠️ ทำลายมูลค่า (ROIC &lt; WACC)</v>
      </c>
      <c r="AX43" s="30" t="str">
        <f t="shared" si="207"/>
        <v>⚠️ ทำลายมูลค่า (ROIC &lt; WACC)</v>
      </c>
      <c r="AY43" s="30" t="str">
        <f t="shared" si="207"/>
        <v>⚠️ ทำลายมูลค่า (ROIC &lt; WACC)</v>
      </c>
      <c r="AZ43" s="30" t="str">
        <f t="shared" si="207"/>
        <v>✅ เพิ่มมูลค่า (ROIC &gt; WACC)</v>
      </c>
      <c r="BA43" s="30" t="str">
        <f t="shared" si="207"/>
        <v>✅ เพิ่มมูลค่า (ROIC &gt; WACC)</v>
      </c>
      <c r="BB43" s="30" t="str">
        <f t="shared" si="207"/>
        <v>✅ เพิ่มมูลค่า (ROIC &gt; WACC)</v>
      </c>
      <c r="BC43" s="30" t="str">
        <f t="shared" si="207"/>
        <v>✅ เพิ่มมูลค่า (ROIC &gt; WACC)</v>
      </c>
      <c r="BD43" s="30" t="str">
        <f t="shared" si="207"/>
        <v>✅ เพิ่มมูลค่า (ROIC &gt; WACC)</v>
      </c>
      <c r="BE43" s="30" t="str">
        <f t="shared" si="207"/>
        <v>✅ เพิ่มมูลค่า (ROIC &gt; WACC)</v>
      </c>
      <c r="BF43" s="30" t="str">
        <f t="shared" ref="BF43:BK43" si="208">IF(BF18 &gt; BF19, "✅ เพิ่มมูลค่า (ROIC &gt; WACC)", "⚠️ ทำลายมูลค่า (ROIC &lt; WACC)")</f>
        <v>✅ เพิ่มมูลค่า (ROIC &gt; WACC)</v>
      </c>
      <c r="BG43" s="30" t="str">
        <f t="shared" si="208"/>
        <v>⚠️ ทำลายมูลค่า (ROIC &lt; WACC)</v>
      </c>
      <c r="BH43" s="30" t="str">
        <f t="shared" si="208"/>
        <v>✅ เพิ่มมูลค่า (ROIC &gt; WACC)</v>
      </c>
      <c r="BI43" s="30" t="str">
        <f t="shared" si="208"/>
        <v>✅ เพิ่มมูลค่า (ROIC &gt; WACC)</v>
      </c>
      <c r="BJ43" s="30" t="str">
        <f t="shared" si="208"/>
        <v>⚠️ ทำลายมูลค่า (ROIC &lt; WACC)</v>
      </c>
      <c r="BK43" s="30" t="str">
        <f t="shared" si="208"/>
        <v>✅ เพิ่มมูลค่า (ROIC &gt; WACC)</v>
      </c>
      <c r="BL43" s="30" t="str">
        <f t="shared" ref="BL43:DW43" si="209">IF(BL18 &gt; BL19, "✅ เพิ่มมูลค่า (ROIC &gt; WACC)", "⚠️ ทำลายมูลค่า (ROIC &lt; WACC)")</f>
        <v>✅ เพิ่มมูลค่า (ROIC &gt; WACC)</v>
      </c>
      <c r="BM43" s="30" t="str">
        <f t="shared" si="209"/>
        <v>✅ เพิ่มมูลค่า (ROIC &gt; WACC)</v>
      </c>
      <c r="BN43" s="30" t="str">
        <f t="shared" si="209"/>
        <v>✅ เพิ่มมูลค่า (ROIC &gt; WACC)</v>
      </c>
      <c r="BO43" s="30" t="str">
        <f t="shared" si="209"/>
        <v>✅ เพิ่มมูลค่า (ROIC &gt; WACC)</v>
      </c>
      <c r="BP43" s="30" t="str">
        <f t="shared" si="209"/>
        <v>✅ เพิ่มมูลค่า (ROIC &gt; WACC)</v>
      </c>
      <c r="BQ43" s="30" t="str">
        <f t="shared" si="209"/>
        <v>✅ เพิ่มมูลค่า (ROIC &gt; WACC)</v>
      </c>
      <c r="BR43" s="30" t="str">
        <f t="shared" si="209"/>
        <v>✅ เพิ่มมูลค่า (ROIC &gt; WACC)</v>
      </c>
      <c r="BS43" s="30" t="str">
        <f t="shared" si="209"/>
        <v>✅ เพิ่มมูลค่า (ROIC &gt; WACC)</v>
      </c>
      <c r="BT43" s="30" t="str">
        <f t="shared" si="209"/>
        <v>⚠️ ทำลายมูลค่า (ROIC &lt; WACC)</v>
      </c>
      <c r="BU43" s="30" t="str">
        <f t="shared" si="209"/>
        <v>✅ เพิ่มมูลค่า (ROIC &gt; WACC)</v>
      </c>
      <c r="BV43" s="30" t="str">
        <f t="shared" si="209"/>
        <v>✅ เพิ่มมูลค่า (ROIC &gt; WACC)</v>
      </c>
      <c r="BW43" s="30" t="str">
        <f t="shared" si="209"/>
        <v>✅ เพิ่มมูลค่า (ROIC &gt; WACC)</v>
      </c>
      <c r="BX43" s="30" t="str">
        <f t="shared" si="209"/>
        <v>✅ เพิ่มมูลค่า (ROIC &gt; WACC)</v>
      </c>
      <c r="BY43" s="30" t="str">
        <f t="shared" si="209"/>
        <v>✅ เพิ่มมูลค่า (ROIC &gt; WACC)</v>
      </c>
      <c r="BZ43" s="30" t="str">
        <f t="shared" si="209"/>
        <v>✅ เพิ่มมูลค่า (ROIC &gt; WACC)</v>
      </c>
      <c r="CA43" s="30" t="str">
        <f t="shared" si="209"/>
        <v>✅ เพิ่มมูลค่า (ROIC &gt; WACC)</v>
      </c>
      <c r="CB43" s="30" t="str">
        <f t="shared" si="209"/>
        <v>⚠️ ทำลายมูลค่า (ROIC &lt; WACC)</v>
      </c>
      <c r="CC43" s="30" t="str">
        <f t="shared" si="209"/>
        <v>⚠️ ทำลายมูลค่า (ROIC &lt; WACC)</v>
      </c>
      <c r="CD43" s="30" t="str">
        <f t="shared" si="209"/>
        <v>✅ เพิ่มมูลค่า (ROIC &gt; WACC)</v>
      </c>
      <c r="CE43" s="30" t="str">
        <f t="shared" si="209"/>
        <v>✅ เพิ่มมูลค่า (ROIC &gt; WACC)</v>
      </c>
      <c r="CF43" s="30" t="str">
        <f t="shared" si="209"/>
        <v>✅ เพิ่มมูลค่า (ROIC &gt; WACC)</v>
      </c>
      <c r="CG43" s="30" t="str">
        <f t="shared" si="209"/>
        <v>✅ เพิ่มมูลค่า (ROIC &gt; WACC)</v>
      </c>
      <c r="CH43" s="30" t="str">
        <f t="shared" si="209"/>
        <v>⚠️ ทำลายมูลค่า (ROIC &lt; WACC)</v>
      </c>
      <c r="CI43" s="30" t="str">
        <f t="shared" si="209"/>
        <v>✅ เพิ่มมูลค่า (ROIC &gt; WACC)</v>
      </c>
      <c r="CJ43" s="30" t="str">
        <f t="shared" si="209"/>
        <v>⚠️ ทำลายมูลค่า (ROIC &lt; WACC)</v>
      </c>
      <c r="CK43" s="30" t="str">
        <f t="shared" si="209"/>
        <v>✅ เพิ่มมูลค่า (ROIC &gt; WACC)</v>
      </c>
      <c r="CL43" s="30" t="str">
        <f t="shared" si="209"/>
        <v>✅ เพิ่มมูลค่า (ROIC &gt; WACC)</v>
      </c>
      <c r="CM43" s="30" t="str">
        <f t="shared" si="209"/>
        <v>⚠️ ทำลายมูลค่า (ROIC &lt; WACC)</v>
      </c>
      <c r="CN43" s="30" t="str">
        <f t="shared" si="209"/>
        <v>✅ เพิ่มมูลค่า (ROIC &gt; WACC)</v>
      </c>
      <c r="CO43" s="30" t="str">
        <f t="shared" si="209"/>
        <v>✅ เพิ่มมูลค่า (ROIC &gt; WACC)</v>
      </c>
      <c r="CP43" s="30" t="str">
        <f t="shared" si="209"/>
        <v>✅ เพิ่มมูลค่า (ROIC &gt; WACC)</v>
      </c>
      <c r="CQ43" s="30" t="str">
        <f t="shared" si="209"/>
        <v>✅ เพิ่มมูลค่า (ROIC &gt; WACC)</v>
      </c>
      <c r="CR43" s="30" t="str">
        <f t="shared" si="209"/>
        <v>✅ เพิ่มมูลค่า (ROIC &gt; WACC)</v>
      </c>
      <c r="CS43" s="30" t="str">
        <f t="shared" si="209"/>
        <v>✅ เพิ่มมูลค่า (ROIC &gt; WACC)</v>
      </c>
      <c r="CT43" s="30" t="str">
        <f t="shared" si="209"/>
        <v>✅ เพิ่มมูลค่า (ROIC &gt; WACC)</v>
      </c>
      <c r="CU43" s="30" t="str">
        <f t="shared" si="209"/>
        <v>✅ เพิ่มมูลค่า (ROIC &gt; WACC)</v>
      </c>
      <c r="CV43" s="30" t="str">
        <f t="shared" si="209"/>
        <v>⚠️ ทำลายมูลค่า (ROIC &lt; WACC)</v>
      </c>
      <c r="CW43" s="30" t="str">
        <f t="shared" si="209"/>
        <v>✅ เพิ่มมูลค่า (ROIC &gt; WACC)</v>
      </c>
      <c r="CX43" s="30" t="str">
        <f t="shared" si="209"/>
        <v>✅ เพิ่มมูลค่า (ROIC &gt; WACC)</v>
      </c>
      <c r="CY43" s="30" t="str">
        <f t="shared" si="209"/>
        <v>✅ เพิ่มมูลค่า (ROIC &gt; WACC)</v>
      </c>
      <c r="CZ43" s="30" t="str">
        <f t="shared" si="209"/>
        <v>✅ เพิ่มมูลค่า (ROIC &gt; WACC)</v>
      </c>
      <c r="DA43" s="30" t="str">
        <f t="shared" si="209"/>
        <v>✅ เพิ่มมูลค่า (ROIC &gt; WACC)</v>
      </c>
      <c r="DB43" s="30" t="str">
        <f t="shared" si="209"/>
        <v>✅ เพิ่มมูลค่า (ROIC &gt; WACC)</v>
      </c>
      <c r="DC43" s="30" t="str">
        <f t="shared" si="209"/>
        <v>✅ เพิ่มมูลค่า (ROIC &gt; WACC)</v>
      </c>
      <c r="DD43" s="30" t="str">
        <f t="shared" si="209"/>
        <v>⚠️ ทำลายมูลค่า (ROIC &lt; WACC)</v>
      </c>
      <c r="DE43" s="30" t="str">
        <f t="shared" si="209"/>
        <v>⚠️ ทำลายมูลค่า (ROIC &lt; WACC)</v>
      </c>
      <c r="DF43" s="30" t="str">
        <f t="shared" si="209"/>
        <v>✅ เพิ่มมูลค่า (ROIC &gt; WACC)</v>
      </c>
      <c r="DG43" s="30" t="str">
        <f t="shared" si="209"/>
        <v>✅ เพิ่มมูลค่า (ROIC &gt; WACC)</v>
      </c>
      <c r="DH43" s="30" t="str">
        <f t="shared" si="209"/>
        <v>✅ เพิ่มมูลค่า (ROIC &gt; WACC)</v>
      </c>
      <c r="DI43" s="30" t="str">
        <f t="shared" si="209"/>
        <v>⚠️ ทำลายมูลค่า (ROIC &lt; WACC)</v>
      </c>
      <c r="DJ43" s="30" t="str">
        <f t="shared" si="209"/>
        <v>✅ เพิ่มมูลค่า (ROIC &gt; WACC)</v>
      </c>
      <c r="DK43" s="30" t="str">
        <f t="shared" si="209"/>
        <v>⚠️ ทำลายมูลค่า (ROIC &lt; WACC)</v>
      </c>
      <c r="DL43" s="30" t="str">
        <f t="shared" si="209"/>
        <v>⚠️ ทำลายมูลค่า (ROIC &lt; WACC)</v>
      </c>
      <c r="DM43" s="30" t="str">
        <f t="shared" si="209"/>
        <v>✅ เพิ่มมูลค่า (ROIC &gt; WACC)</v>
      </c>
      <c r="DN43" s="30" t="str">
        <f t="shared" si="209"/>
        <v>✅ เพิ่มมูลค่า (ROIC &gt; WACC)</v>
      </c>
      <c r="DO43" s="30" t="str">
        <f t="shared" si="209"/>
        <v>✅ เพิ่มมูลค่า (ROIC &gt; WACC)</v>
      </c>
      <c r="DP43" s="30" t="str">
        <f t="shared" si="209"/>
        <v>✅ เพิ่มมูลค่า (ROIC &gt; WACC)</v>
      </c>
      <c r="DQ43" s="30" t="str">
        <f t="shared" si="209"/>
        <v>✅ เพิ่มมูลค่า (ROIC &gt; WACC)</v>
      </c>
      <c r="DR43" s="30" t="str">
        <f t="shared" si="209"/>
        <v>✅ เพิ่มมูลค่า (ROIC &gt; WACC)</v>
      </c>
      <c r="DS43" s="30" t="str">
        <f t="shared" si="209"/>
        <v>✅ เพิ่มมูลค่า (ROIC &gt; WACC)</v>
      </c>
      <c r="DT43" s="30" t="str">
        <f t="shared" si="209"/>
        <v>✅ เพิ่มมูลค่า (ROIC &gt; WACC)</v>
      </c>
      <c r="DU43" s="30" t="str">
        <f t="shared" si="209"/>
        <v>✅ เพิ่มมูลค่า (ROIC &gt; WACC)</v>
      </c>
      <c r="DV43" s="30" t="str">
        <f t="shared" si="209"/>
        <v>✅ เพิ่มมูลค่า (ROIC &gt; WACC)</v>
      </c>
      <c r="DW43" s="30" t="str">
        <f t="shared" si="209"/>
        <v>✅ เพิ่มมูลค่า (ROIC &gt; WACC)</v>
      </c>
      <c r="DX43" s="30" t="str">
        <f t="shared" ref="DX43:FA43" si="210">IF(DX18 &gt; DX19, "✅ เพิ่มมูลค่า (ROIC &gt; WACC)", "⚠️ ทำลายมูลค่า (ROIC &lt; WACC)")</f>
        <v>✅ เพิ่มมูลค่า (ROIC &gt; WACC)</v>
      </c>
      <c r="DY43" s="30" t="str">
        <f t="shared" si="210"/>
        <v>⚠️ ทำลายมูลค่า (ROIC &lt; WACC)</v>
      </c>
      <c r="DZ43" s="30" t="str">
        <f t="shared" si="210"/>
        <v>✅ เพิ่มมูลค่า (ROIC &gt; WACC)</v>
      </c>
      <c r="EA43" s="30" t="str">
        <f t="shared" si="210"/>
        <v>✅ เพิ่มมูลค่า (ROIC &gt; WACC)</v>
      </c>
      <c r="EB43" s="30" t="str">
        <f t="shared" si="210"/>
        <v>✅ เพิ่มมูลค่า (ROIC &gt; WACC)</v>
      </c>
      <c r="EC43" s="30" t="str">
        <f t="shared" si="210"/>
        <v>✅ เพิ่มมูลค่า (ROIC &gt; WACC)</v>
      </c>
      <c r="ED43" s="30" t="str">
        <f t="shared" si="210"/>
        <v>⚠️ ทำลายมูลค่า (ROIC &lt; WACC)</v>
      </c>
      <c r="EE43" s="30" t="str">
        <f t="shared" si="210"/>
        <v>✅ เพิ่มมูลค่า (ROIC &gt; WACC)</v>
      </c>
      <c r="EF43" s="30" t="str">
        <f t="shared" si="210"/>
        <v>✅ เพิ่มมูลค่า (ROIC &gt; WACC)</v>
      </c>
      <c r="EG43" s="30" t="str">
        <f t="shared" si="210"/>
        <v>✅ เพิ่มมูลค่า (ROIC &gt; WACC)</v>
      </c>
      <c r="EH43" s="30" t="str">
        <f t="shared" si="210"/>
        <v>✅ เพิ่มมูลค่า (ROIC &gt; WACC)</v>
      </c>
      <c r="EI43" s="30" t="str">
        <f t="shared" si="210"/>
        <v>✅ เพิ่มมูลค่า (ROIC &gt; WACC)</v>
      </c>
      <c r="EJ43" s="30" t="str">
        <f t="shared" si="210"/>
        <v>✅ เพิ่มมูลค่า (ROIC &gt; WACC)</v>
      </c>
      <c r="EK43" s="30" t="str">
        <f t="shared" si="210"/>
        <v>⚠️ ทำลายมูลค่า (ROIC &lt; WACC)</v>
      </c>
      <c r="EL43" s="30" t="str">
        <f t="shared" si="210"/>
        <v>✅ เพิ่มมูลค่า (ROIC &gt; WACC)</v>
      </c>
      <c r="EM43" s="30" t="str">
        <f t="shared" si="210"/>
        <v>✅ เพิ่มมูลค่า (ROIC &gt; WACC)</v>
      </c>
      <c r="EN43" s="30" t="str">
        <f t="shared" si="210"/>
        <v>✅ เพิ่มมูลค่า (ROIC &gt; WACC)</v>
      </c>
      <c r="EO43" s="44" t="str">
        <f t="shared" si="210"/>
        <v>✅ เพิ่มมูลค่า (ROIC &gt; WACC)</v>
      </c>
      <c r="EZ43" s="41" t="str">
        <f t="shared" si="210"/>
        <v>✅ เพิ่มมูลค่า (ROIC &gt; WACC)</v>
      </c>
      <c r="FA43" s="30" t="str">
        <f t="shared" si="210"/>
        <v>✅ เพิ่มมูลค่า (ROIC &gt; WACC)</v>
      </c>
      <c r="FB43" s="30" t="str">
        <f t="shared" ref="FB43:HM43" si="211">IF(FB18 &gt; FB19, "✅ เพิ่มมูลค่า (ROIC &gt; WACC)", "⚠️ ทำลายมูลค่า (ROIC &lt; WACC)")</f>
        <v>✅ เพิ่มมูลค่า (ROIC &gt; WACC)</v>
      </c>
      <c r="FC43" s="30" t="str">
        <f t="shared" si="211"/>
        <v>✅ เพิ่มมูลค่า (ROIC &gt; WACC)</v>
      </c>
      <c r="FD43" s="30" t="str">
        <f t="shared" si="211"/>
        <v>✅ เพิ่มมูลค่า (ROIC &gt; WACC)</v>
      </c>
      <c r="FE43" s="30" t="str">
        <f t="shared" si="211"/>
        <v>✅ เพิ่มมูลค่า (ROIC &gt; WACC)</v>
      </c>
      <c r="FF43" s="30" t="str">
        <f t="shared" si="211"/>
        <v>⚠️ ทำลายมูลค่า (ROIC &lt; WACC)</v>
      </c>
      <c r="FG43" s="30" t="str">
        <f t="shared" si="211"/>
        <v>✅ เพิ่มมูลค่า (ROIC &gt; WACC)</v>
      </c>
      <c r="FH43" s="30" t="str">
        <f t="shared" si="211"/>
        <v>✅ เพิ่มมูลค่า (ROIC &gt; WACC)</v>
      </c>
      <c r="FI43" s="30" t="str">
        <f t="shared" si="211"/>
        <v>✅ เพิ่มมูลค่า (ROIC &gt; WACC)</v>
      </c>
      <c r="FJ43" s="30" t="str">
        <f t="shared" si="211"/>
        <v>✅ เพิ่มมูลค่า (ROIC &gt; WACC)</v>
      </c>
      <c r="FK43" s="30" t="str">
        <f t="shared" si="211"/>
        <v>✅ เพิ่มมูลค่า (ROIC &gt; WACC)</v>
      </c>
      <c r="FL43" s="30" t="str">
        <f t="shared" si="211"/>
        <v>⚠️ ทำลายมูลค่า (ROIC &lt; WACC)</v>
      </c>
      <c r="FM43" s="30" t="str">
        <f t="shared" si="211"/>
        <v>✅ เพิ่มมูลค่า (ROIC &gt; WACC)</v>
      </c>
      <c r="FN43" s="30" t="str">
        <f t="shared" si="211"/>
        <v>✅ เพิ่มมูลค่า (ROIC &gt; WACC)</v>
      </c>
      <c r="FO43" s="30" t="str">
        <f t="shared" si="211"/>
        <v>✅ เพิ่มมูลค่า (ROIC &gt; WACC)</v>
      </c>
      <c r="FP43" s="30" t="str">
        <f t="shared" si="211"/>
        <v>✅ เพิ่มมูลค่า (ROIC &gt; WACC)</v>
      </c>
      <c r="FQ43" s="30" t="str">
        <f t="shared" si="211"/>
        <v>✅ เพิ่มมูลค่า (ROIC &gt; WACC)</v>
      </c>
      <c r="FR43" s="30" t="str">
        <f t="shared" si="211"/>
        <v>✅ เพิ่มมูลค่า (ROIC &gt; WACC)</v>
      </c>
      <c r="FS43" s="30" t="str">
        <f t="shared" si="211"/>
        <v>✅ เพิ่มมูลค่า (ROIC &gt; WACC)</v>
      </c>
      <c r="FT43" s="30" t="str">
        <f t="shared" si="211"/>
        <v>✅ เพิ่มมูลค่า (ROIC &gt; WACC)</v>
      </c>
      <c r="FU43" s="30" t="str">
        <f t="shared" si="211"/>
        <v>✅ เพิ่มมูลค่า (ROIC &gt; WACC)</v>
      </c>
      <c r="FV43" s="30" t="str">
        <f t="shared" si="211"/>
        <v>⚠️ ทำลายมูลค่า (ROIC &lt; WACC)</v>
      </c>
      <c r="FW43" s="30" t="str">
        <f t="shared" si="211"/>
        <v>✅ เพิ่มมูลค่า (ROIC &gt; WACC)</v>
      </c>
      <c r="FX43" s="30" t="str">
        <f t="shared" si="211"/>
        <v>✅ เพิ่มมูลค่า (ROIC &gt; WACC)</v>
      </c>
      <c r="FY43" s="30" t="str">
        <f t="shared" si="211"/>
        <v>⚠️ ทำลายมูลค่า (ROIC &lt; WACC)</v>
      </c>
      <c r="FZ43" s="30" t="str">
        <f t="shared" si="211"/>
        <v>✅ เพิ่มมูลค่า (ROIC &gt; WACC)</v>
      </c>
      <c r="GA43" s="30" t="str">
        <f t="shared" si="211"/>
        <v>✅ เพิ่มมูลค่า (ROIC &gt; WACC)</v>
      </c>
      <c r="GB43" s="30" t="str">
        <f t="shared" si="211"/>
        <v>✅ เพิ่มมูลค่า (ROIC &gt; WACC)</v>
      </c>
      <c r="GC43" s="30" t="str">
        <f t="shared" si="211"/>
        <v>✅ เพิ่มมูลค่า (ROIC &gt; WACC)</v>
      </c>
      <c r="GD43" s="30" t="str">
        <f t="shared" si="211"/>
        <v>✅ เพิ่มมูลค่า (ROIC &gt; WACC)</v>
      </c>
      <c r="GE43" s="30" t="str">
        <f t="shared" si="211"/>
        <v>✅ เพิ่มมูลค่า (ROIC &gt; WACC)</v>
      </c>
      <c r="GF43" s="30" t="str">
        <f t="shared" si="211"/>
        <v>✅ เพิ่มมูลค่า (ROIC &gt; WACC)</v>
      </c>
      <c r="GG43" s="30" t="str">
        <f t="shared" si="211"/>
        <v>⚠️ ทำลายมูลค่า (ROIC &lt; WACC)</v>
      </c>
      <c r="GH43" s="30" t="str">
        <f t="shared" si="211"/>
        <v>✅ เพิ่มมูลค่า (ROIC &gt; WACC)</v>
      </c>
      <c r="GI43" s="30" t="str">
        <f t="shared" si="211"/>
        <v>⚠️ ทำลายมูลค่า (ROIC &lt; WACC)</v>
      </c>
      <c r="GJ43" s="30" t="str">
        <f t="shared" si="211"/>
        <v>✅ เพิ่มมูลค่า (ROIC &gt; WACC)</v>
      </c>
      <c r="GK43" s="30" t="str">
        <f t="shared" si="211"/>
        <v>✅ เพิ่มมูลค่า (ROIC &gt; WACC)</v>
      </c>
      <c r="GL43" s="30" t="str">
        <f t="shared" si="211"/>
        <v>✅ เพิ่มมูลค่า (ROIC &gt; WACC)</v>
      </c>
      <c r="GM43" s="30" t="str">
        <f t="shared" si="211"/>
        <v>✅ เพิ่มมูลค่า (ROIC &gt; WACC)</v>
      </c>
      <c r="GN43" s="30" t="str">
        <f t="shared" si="211"/>
        <v>✅ เพิ่มมูลค่า (ROIC &gt; WACC)</v>
      </c>
      <c r="GO43" s="30" t="str">
        <f t="shared" si="211"/>
        <v>⚠️ ทำลายมูลค่า (ROIC &lt; WACC)</v>
      </c>
      <c r="GP43" s="30" t="str">
        <f t="shared" si="211"/>
        <v>✅ เพิ่มมูลค่า (ROIC &gt; WACC)</v>
      </c>
      <c r="GQ43" s="30" t="str">
        <f t="shared" si="211"/>
        <v>✅ เพิ่มมูลค่า (ROIC &gt; WACC)</v>
      </c>
      <c r="GR43" s="30" t="str">
        <f t="shared" si="211"/>
        <v>✅ เพิ่มมูลค่า (ROIC &gt; WACC)</v>
      </c>
      <c r="GS43" s="30" t="str">
        <f t="shared" si="211"/>
        <v>⚠️ ทำลายมูลค่า (ROIC &lt; WACC)</v>
      </c>
      <c r="GT43" s="30" t="str">
        <f t="shared" si="211"/>
        <v>⚠️ ทำลายมูลค่า (ROIC &lt; WACC)</v>
      </c>
      <c r="GU43" s="30" t="str">
        <f t="shared" si="211"/>
        <v>⚠️ ทำลายมูลค่า (ROIC &lt; WACC)</v>
      </c>
      <c r="GV43" s="30" t="str">
        <f t="shared" si="211"/>
        <v>⚠️ ทำลายมูลค่า (ROIC &lt; WACC)</v>
      </c>
      <c r="GW43" s="30" t="str">
        <f t="shared" si="211"/>
        <v>⚠️ ทำลายมูลค่า (ROIC &lt; WACC)</v>
      </c>
      <c r="GX43" s="30" t="str">
        <f t="shared" si="211"/>
        <v>⚠️ ทำลายมูลค่า (ROIC &lt; WACC)</v>
      </c>
      <c r="GY43" s="30" t="str">
        <f t="shared" si="211"/>
        <v>⚠️ ทำลายมูลค่า (ROIC &lt; WACC)</v>
      </c>
      <c r="GZ43" s="30" t="str">
        <f t="shared" si="211"/>
        <v>⚠️ ทำลายมูลค่า (ROIC &lt; WACC)</v>
      </c>
      <c r="HA43" s="30" t="str">
        <f t="shared" si="211"/>
        <v>⚠️ ทำลายมูลค่า (ROIC &lt; WACC)</v>
      </c>
      <c r="HB43" s="30" t="str">
        <f t="shared" si="211"/>
        <v>✅ เพิ่มมูลค่า (ROIC &gt; WACC)</v>
      </c>
      <c r="HC43" s="30" t="str">
        <f t="shared" si="211"/>
        <v>✅ เพิ่มมูลค่า (ROIC &gt; WACC)</v>
      </c>
      <c r="HD43" s="30" t="str">
        <f t="shared" si="211"/>
        <v>✅ เพิ่มมูลค่า (ROIC &gt; WACC)</v>
      </c>
      <c r="HE43" s="30" t="str">
        <f t="shared" si="211"/>
        <v>✅ เพิ่มมูลค่า (ROIC &gt; WACC)</v>
      </c>
      <c r="HF43" s="30" t="str">
        <f t="shared" si="211"/>
        <v>✅ เพิ่มมูลค่า (ROIC &gt; WACC)</v>
      </c>
      <c r="HG43" s="30" t="str">
        <f t="shared" si="211"/>
        <v>⚠️ ทำลายมูลค่า (ROIC &lt; WACC)</v>
      </c>
      <c r="HH43" s="30" t="str">
        <f t="shared" si="211"/>
        <v>✅ เพิ่มมูลค่า (ROIC &gt; WACC)</v>
      </c>
      <c r="HI43" s="30" t="str">
        <f t="shared" si="211"/>
        <v>✅ เพิ่มมูลค่า (ROIC &gt; WACC)</v>
      </c>
      <c r="HJ43" s="30" t="str">
        <f t="shared" si="211"/>
        <v>⚠️ ทำลายมูลค่า (ROIC &lt; WACC)</v>
      </c>
      <c r="HK43" s="30" t="str">
        <f t="shared" si="211"/>
        <v>✅ เพิ่มมูลค่า (ROIC &gt; WACC)</v>
      </c>
      <c r="HL43" s="30" t="str">
        <f t="shared" si="211"/>
        <v>✅ เพิ่มมูลค่า (ROIC &gt; WACC)</v>
      </c>
      <c r="HM43" s="30" t="str">
        <f t="shared" si="211"/>
        <v>✅ เพิ่มมูลค่า (ROIC &gt; WACC)</v>
      </c>
      <c r="HN43" s="30" t="str">
        <f t="shared" ref="HN43:HP43" si="212">IF(HN18 &gt; HN19, "✅ เพิ่มมูลค่า (ROIC &gt; WACC)", "⚠️ ทำลายมูลค่า (ROIC &lt; WACC)")</f>
        <v>✅ เพิ่มมูลค่า (ROIC &gt; WACC)</v>
      </c>
      <c r="HO43" s="30" t="str">
        <f t="shared" si="212"/>
        <v>✅ เพิ่มมูลค่า (ROIC &gt; WACC)</v>
      </c>
      <c r="HP43" s="30" t="str">
        <f t="shared" si="212"/>
        <v>✅ เพิ่มมูลค่า (ROIC &gt; WACC)</v>
      </c>
      <c r="HQ43" s="30" t="str">
        <f t="shared" ref="HQ43:HV43" si="213">IF(HQ18 &gt; HQ19, "✅ เพิ่มมูลค่า (ROIC &gt; WACC)", "⚠️ ทำลายมูลค่า (ROIC &lt; WACC)")</f>
        <v>✅ เพิ่มมูลค่า (ROIC &gt; WACC)</v>
      </c>
      <c r="HR43" s="30" t="str">
        <f t="shared" si="213"/>
        <v>✅ เพิ่มมูลค่า (ROIC &gt; WACC)</v>
      </c>
      <c r="HS43" s="30" t="str">
        <f t="shared" si="213"/>
        <v>✅ เพิ่มมูลค่า (ROIC &gt; WACC)</v>
      </c>
      <c r="HT43" s="30" t="str">
        <f t="shared" si="213"/>
        <v>✅ เพิ่มมูลค่า (ROIC &gt; WACC)</v>
      </c>
      <c r="HU43" s="30" t="str">
        <f t="shared" si="213"/>
        <v>✅ เพิ่มมูลค่า (ROIC &gt; WACC)</v>
      </c>
      <c r="HV43" s="30" t="str">
        <f t="shared" si="213"/>
        <v>✅ เพิ่มมูลค่า (ROIC &gt; WACC)</v>
      </c>
      <c r="HW43" s="30" t="str">
        <f t="shared" ref="HW43:HX43" si="214">IF(HW18 &gt; HW19, "✅ เพิ่มมูลค่า (ROIC &gt; WACC)", "⚠️ ทำลายมูลค่า (ROIC &lt; WACC)")</f>
        <v>✅ เพิ่มมูลค่า (ROIC &gt; WACC)</v>
      </c>
      <c r="HX43" s="30" t="str">
        <f t="shared" ref="HX43:HY43" si="215">IF(HX18 &gt; HX19, "✅ เพิ่มมูลค่า (ROIC &gt; WACC)", "⚠️ ทำลายมูลค่า (ROIC &lt; WACC)")</f>
        <v>✅ เพิ่มมูลค่า (ROIC &gt; WACC)</v>
      </c>
      <c r="HY43" s="30" t="str">
        <f t="shared" si="215"/>
        <v>✅ เพิ่มมูลค่า (ROIC &gt; WACC)</v>
      </c>
    </row>
    <row r="44" spans="1:233" ht="24" customHeight="1" x14ac:dyDescent="0.5">
      <c r="A44" s="51"/>
      <c r="B44" s="21" t="str">
        <f>IF(B6 &lt; B18, "✅ PE ต่ำกว่า ROIC = น่าสนใจ", "⚠️ PE สูงกว่า ROIC = ต้องโตให้คุ้ม")</f>
        <v>⚠️ PE สูงกว่า ROIC = ต้องโตให้คุ้ม</v>
      </c>
      <c r="C44" s="30" t="str">
        <f t="shared" ref="C44" si="216">IF(C6 &lt; C18, "✅ PE ต่ำกว่า ROIC = น่าสนใจ", "⚠️ PE สูงกว่า ROIC = ต้องโตให้คุ้ม")</f>
        <v>✅ PE ต่ำกว่า ROIC = น่าสนใจ</v>
      </c>
      <c r="D44" s="30" t="str">
        <f t="shared" ref="D44:AB44" si="217">IF(D6 &lt; D18, "✅ PE ต่ำกว่า ROIC = น่าสนใจ", "⚠️ PE สูงกว่า ROIC = ต้องโตให้คุ้ม")</f>
        <v>⚠️ PE สูงกว่า ROIC = ต้องโตให้คุ้ม</v>
      </c>
      <c r="E44" s="30" t="str">
        <f t="shared" si="217"/>
        <v>⚠️ PE สูงกว่า ROIC = ต้องโตให้คุ้ม</v>
      </c>
      <c r="F44" s="30" t="str">
        <f t="shared" si="217"/>
        <v>⚠️ PE สูงกว่า ROIC = ต้องโตให้คุ้ม</v>
      </c>
      <c r="G44" s="30" t="str">
        <f t="shared" si="217"/>
        <v>⚠️ PE สูงกว่า ROIC = ต้องโตให้คุ้ม</v>
      </c>
      <c r="H44" s="30" t="str">
        <f t="shared" si="217"/>
        <v>⚠️ PE สูงกว่า ROIC = ต้องโตให้คุ้ม</v>
      </c>
      <c r="I44" s="30" t="str">
        <f t="shared" si="217"/>
        <v>⚠️ PE สูงกว่า ROIC = ต้องโตให้คุ้ม</v>
      </c>
      <c r="J44" s="30" t="str">
        <f t="shared" si="217"/>
        <v>⚠️ PE สูงกว่า ROIC = ต้องโตให้คุ้ม</v>
      </c>
      <c r="K44" s="30" t="str">
        <f t="shared" si="217"/>
        <v>✅ PE ต่ำกว่า ROIC = น่าสนใจ</v>
      </c>
      <c r="L44" s="30" t="str">
        <f t="shared" si="217"/>
        <v>⚠️ PE สูงกว่า ROIC = ต้องโตให้คุ้ม</v>
      </c>
      <c r="M44" s="30" t="str">
        <f t="shared" si="217"/>
        <v>⚠️ PE สูงกว่า ROIC = ต้องโตให้คุ้ม</v>
      </c>
      <c r="N44" s="30" t="str">
        <f t="shared" si="217"/>
        <v>⚠️ PE สูงกว่า ROIC = ต้องโตให้คุ้ม</v>
      </c>
      <c r="O44" s="30" t="str">
        <f t="shared" si="217"/>
        <v>⚠️ PE สูงกว่า ROIC = ต้องโตให้คุ้ม</v>
      </c>
      <c r="P44" s="30" t="str">
        <f t="shared" si="217"/>
        <v>⚠️ PE สูงกว่า ROIC = ต้องโตให้คุ้ม</v>
      </c>
      <c r="Q44" s="30" t="str">
        <f t="shared" si="217"/>
        <v>⚠️ PE สูงกว่า ROIC = ต้องโตให้คุ้ม</v>
      </c>
      <c r="R44" s="30" t="str">
        <f t="shared" si="217"/>
        <v>⚠️ PE สูงกว่า ROIC = ต้องโตให้คุ้ม</v>
      </c>
      <c r="S44" s="30" t="str">
        <f t="shared" si="217"/>
        <v>⚠️ PE สูงกว่า ROIC = ต้องโตให้คุ้ม</v>
      </c>
      <c r="T44" s="30" t="str">
        <f t="shared" si="217"/>
        <v>⚠️ PE สูงกว่า ROIC = ต้องโตให้คุ้ม</v>
      </c>
      <c r="U44" s="30" t="str">
        <f t="shared" si="217"/>
        <v>⚠️ PE สูงกว่า ROIC = ต้องโตให้คุ้ม</v>
      </c>
      <c r="V44" s="30" t="str">
        <f t="shared" si="217"/>
        <v>✅ PE ต่ำกว่า ROIC = น่าสนใจ</v>
      </c>
      <c r="W44" s="30" t="str">
        <f t="shared" si="217"/>
        <v>✅ PE ต่ำกว่า ROIC = น่าสนใจ</v>
      </c>
      <c r="X44" s="30" t="str">
        <f t="shared" si="217"/>
        <v>⚠️ PE สูงกว่า ROIC = ต้องโตให้คุ้ม</v>
      </c>
      <c r="Y44" s="30" t="str">
        <f t="shared" si="217"/>
        <v>⚠️ PE สูงกว่า ROIC = ต้องโตให้คุ้ม</v>
      </c>
      <c r="Z44" s="30" t="str">
        <f t="shared" si="217"/>
        <v>⚠️ PE สูงกว่า ROIC = ต้องโตให้คุ้ม</v>
      </c>
      <c r="AA44" s="30" t="str">
        <f t="shared" si="217"/>
        <v>⚠️ PE สูงกว่า ROIC = ต้องโตให้คุ้ม</v>
      </c>
      <c r="AB44" s="30" t="str">
        <f t="shared" si="217"/>
        <v>✅ PE ต่ำกว่า ROIC = น่าสนใจ</v>
      </c>
      <c r="AC44" s="21" t="str">
        <f t="shared" ref="AC44:BE44" si="218">IF(AC6 &lt; AC18, "✅ PE ต่ำกว่า ROIC = น่าสนใจ", "⚠️ PE สูงกว่า ROIC = ต้องโตให้คุ้ม")</f>
        <v>⚠️ PE สูงกว่า ROIC = ต้องโตให้คุ้ม</v>
      </c>
      <c r="AD44" s="21" t="str">
        <f t="shared" si="218"/>
        <v>⚠️ PE สูงกว่า ROIC = ต้องโตให้คุ้ม</v>
      </c>
      <c r="AE44" s="21" t="str">
        <f t="shared" si="218"/>
        <v>⚠️ PE สูงกว่า ROIC = ต้องโตให้คุ้ม</v>
      </c>
      <c r="AF44" s="21" t="str">
        <f t="shared" si="218"/>
        <v>⚠️ PE สูงกว่า ROIC = ต้องโตให้คุ้ม</v>
      </c>
      <c r="AG44" s="21" t="str">
        <f t="shared" si="218"/>
        <v>⚠️ PE สูงกว่า ROIC = ต้องโตให้คุ้ม</v>
      </c>
      <c r="AH44" s="21" t="str">
        <f t="shared" si="218"/>
        <v>⚠️ PE สูงกว่า ROIC = ต้องโตให้คุ้ม</v>
      </c>
      <c r="AI44" s="21" t="str">
        <f t="shared" si="218"/>
        <v>⚠️ PE สูงกว่า ROIC = ต้องโตให้คุ้ม</v>
      </c>
      <c r="AJ44" s="21" t="str">
        <f t="shared" si="218"/>
        <v>⚠️ PE สูงกว่า ROIC = ต้องโตให้คุ้ม</v>
      </c>
      <c r="AK44" s="21" t="str">
        <f t="shared" si="218"/>
        <v>⚠️ PE สูงกว่า ROIC = ต้องโตให้คุ้ม</v>
      </c>
      <c r="AL44" s="21" t="str">
        <f t="shared" si="218"/>
        <v>⚠️ PE สูงกว่า ROIC = ต้องโตให้คุ้ม</v>
      </c>
      <c r="AM44" s="21" t="str">
        <f t="shared" si="218"/>
        <v>⚠️ PE สูงกว่า ROIC = ต้องโตให้คุ้ม</v>
      </c>
      <c r="AN44" s="21" t="str">
        <f t="shared" si="218"/>
        <v>⚠️ PE สูงกว่า ROIC = ต้องโตให้คุ้ม</v>
      </c>
      <c r="AO44" s="21" t="str">
        <f t="shared" si="218"/>
        <v>⚠️ PE สูงกว่า ROIC = ต้องโตให้คุ้ม</v>
      </c>
      <c r="AP44" s="21" t="str">
        <f t="shared" si="218"/>
        <v>⚠️ PE สูงกว่า ROIC = ต้องโตให้คุ้ม</v>
      </c>
      <c r="AQ44" s="21" t="str">
        <f t="shared" si="218"/>
        <v>⚠️ PE สูงกว่า ROIC = ต้องโตให้คุ้ม</v>
      </c>
      <c r="AR44" s="21" t="str">
        <f t="shared" si="218"/>
        <v>⚠️ PE สูงกว่า ROIC = ต้องโตให้คุ้ม</v>
      </c>
      <c r="AS44" s="21" t="str">
        <f t="shared" si="218"/>
        <v>⚠️ PE สูงกว่า ROIC = ต้องโตให้คุ้ม</v>
      </c>
      <c r="AT44" s="21" t="str">
        <f t="shared" si="218"/>
        <v>⚠️ PE สูงกว่า ROIC = ต้องโตให้คุ้ม</v>
      </c>
      <c r="AU44" s="21" t="str">
        <f t="shared" si="218"/>
        <v>⚠️ PE สูงกว่า ROIC = ต้องโตให้คุ้ม</v>
      </c>
      <c r="AV44" s="21" t="str">
        <f t="shared" si="218"/>
        <v>⚠️ PE สูงกว่า ROIC = ต้องโตให้คุ้ม</v>
      </c>
      <c r="AW44" s="21" t="str">
        <f t="shared" si="218"/>
        <v>⚠️ PE สูงกว่า ROIC = ต้องโตให้คุ้ม</v>
      </c>
      <c r="AX44" s="21" t="str">
        <f t="shared" si="218"/>
        <v>⚠️ PE สูงกว่า ROIC = ต้องโตให้คุ้ม</v>
      </c>
      <c r="AY44" s="21" t="str">
        <f t="shared" si="218"/>
        <v>⚠️ PE สูงกว่า ROIC = ต้องโตให้คุ้ม</v>
      </c>
      <c r="AZ44" s="21" t="str">
        <f t="shared" si="218"/>
        <v>✅ PE ต่ำกว่า ROIC = น่าสนใจ</v>
      </c>
      <c r="BA44" s="21" t="str">
        <f t="shared" si="218"/>
        <v>⚠️ PE สูงกว่า ROIC = ต้องโตให้คุ้ม</v>
      </c>
      <c r="BB44" s="21" t="str">
        <f t="shared" si="218"/>
        <v>⚠️ PE สูงกว่า ROIC = ต้องโตให้คุ้ม</v>
      </c>
      <c r="BC44" s="21" t="str">
        <f t="shared" si="218"/>
        <v>✅ PE ต่ำกว่า ROIC = น่าสนใจ</v>
      </c>
      <c r="BD44" s="21" t="str">
        <f t="shared" si="218"/>
        <v>⚠️ PE สูงกว่า ROIC = ต้องโตให้คุ้ม</v>
      </c>
      <c r="BE44" s="21" t="str">
        <f t="shared" si="218"/>
        <v>⚠️ PE สูงกว่า ROIC = ต้องโตให้คุ้ม</v>
      </c>
      <c r="BF44" s="21" t="str">
        <f t="shared" ref="BF44:BK44" si="219">IF(BF6 &lt; BF18, "✅ PE ต่ำกว่า ROIC = น่าสนใจ", "⚠️ PE สูงกว่า ROIC = ต้องโตให้คุ้ม")</f>
        <v>⚠️ PE สูงกว่า ROIC = ต้องโตให้คุ้ม</v>
      </c>
      <c r="BG44" s="21" t="str">
        <f t="shared" si="219"/>
        <v>⚠️ PE สูงกว่า ROIC = ต้องโตให้คุ้ม</v>
      </c>
      <c r="BH44" s="21" t="str">
        <f t="shared" si="219"/>
        <v>⚠️ PE สูงกว่า ROIC = ต้องโตให้คุ้ม</v>
      </c>
      <c r="BI44" s="21" t="str">
        <f t="shared" si="219"/>
        <v>⚠️ PE สูงกว่า ROIC = ต้องโตให้คุ้ม</v>
      </c>
      <c r="BJ44" s="21" t="str">
        <f t="shared" si="219"/>
        <v>⚠️ PE สูงกว่า ROIC = ต้องโตให้คุ้ม</v>
      </c>
      <c r="BK44" s="30" t="str">
        <f t="shared" si="219"/>
        <v>✅ PE ต่ำกว่า ROIC = น่าสนใจ</v>
      </c>
      <c r="BL44" s="21" t="str">
        <f t="shared" ref="BL44:DW44" si="220">IF(BL6 &lt; BL18, "✅ PE ต่ำกว่า ROIC = น่าสนใจ", "⚠️ PE สูงกว่า ROIC = ต้องโตให้คุ้ม")</f>
        <v>⚠️ PE สูงกว่า ROIC = ต้องโตให้คุ้ม</v>
      </c>
      <c r="BM44" s="21" t="str">
        <f t="shared" si="220"/>
        <v>⚠️ PE สูงกว่า ROIC = ต้องโตให้คุ้ม</v>
      </c>
      <c r="BN44" s="21" t="str">
        <f t="shared" si="220"/>
        <v>⚠️ PE สูงกว่า ROIC = ต้องโตให้คุ้ม</v>
      </c>
      <c r="BO44" s="21" t="str">
        <f t="shared" si="220"/>
        <v>⚠️ PE สูงกว่า ROIC = ต้องโตให้คุ้ม</v>
      </c>
      <c r="BP44" s="21" t="str">
        <f t="shared" si="220"/>
        <v>⚠️ PE สูงกว่า ROIC = ต้องโตให้คุ้ม</v>
      </c>
      <c r="BQ44" s="21" t="str">
        <f t="shared" si="220"/>
        <v>✅ PE ต่ำกว่า ROIC = น่าสนใจ</v>
      </c>
      <c r="BR44" s="21" t="str">
        <f t="shared" si="220"/>
        <v>⚠️ PE สูงกว่า ROIC = ต้องโตให้คุ้ม</v>
      </c>
      <c r="BS44" s="21" t="str">
        <f t="shared" si="220"/>
        <v>⚠️ PE สูงกว่า ROIC = ต้องโตให้คุ้ม</v>
      </c>
      <c r="BT44" s="21" t="str">
        <f t="shared" si="220"/>
        <v>⚠️ PE สูงกว่า ROIC = ต้องโตให้คุ้ม</v>
      </c>
      <c r="BU44" s="21" t="str">
        <f t="shared" si="220"/>
        <v>✅ PE ต่ำกว่า ROIC = น่าสนใจ</v>
      </c>
      <c r="BV44" s="21" t="str">
        <f t="shared" si="220"/>
        <v>⚠️ PE สูงกว่า ROIC = ต้องโตให้คุ้ม</v>
      </c>
      <c r="BW44" s="21" t="str">
        <f t="shared" si="220"/>
        <v>⚠️ PE สูงกว่า ROIC = ต้องโตให้คุ้ม</v>
      </c>
      <c r="BX44" s="21" t="str">
        <f t="shared" si="220"/>
        <v>⚠️ PE สูงกว่า ROIC = ต้องโตให้คุ้ม</v>
      </c>
      <c r="BY44" s="21" t="str">
        <f t="shared" si="220"/>
        <v>⚠️ PE สูงกว่า ROIC = ต้องโตให้คุ้ม</v>
      </c>
      <c r="BZ44" s="21" t="str">
        <f t="shared" si="220"/>
        <v>⚠️ PE สูงกว่า ROIC = ต้องโตให้คุ้ม</v>
      </c>
      <c r="CA44" s="21" t="str">
        <f t="shared" si="220"/>
        <v>✅ PE ต่ำกว่า ROIC = น่าสนใจ</v>
      </c>
      <c r="CB44" s="21" t="str">
        <f t="shared" si="220"/>
        <v>⚠️ PE สูงกว่า ROIC = ต้องโตให้คุ้ม</v>
      </c>
      <c r="CC44" s="21" t="str">
        <f t="shared" si="220"/>
        <v>⚠️ PE สูงกว่า ROIC = ต้องโตให้คุ้ม</v>
      </c>
      <c r="CD44" s="21" t="str">
        <f t="shared" si="220"/>
        <v>⚠️ PE สูงกว่า ROIC = ต้องโตให้คุ้ม</v>
      </c>
      <c r="CE44" s="21" t="str">
        <f t="shared" si="220"/>
        <v>⚠️ PE สูงกว่า ROIC = ต้องโตให้คุ้ม</v>
      </c>
      <c r="CF44" s="21" t="str">
        <f t="shared" si="220"/>
        <v>⚠️ PE สูงกว่า ROIC = ต้องโตให้คุ้ม</v>
      </c>
      <c r="CG44" s="21" t="str">
        <f t="shared" si="220"/>
        <v>⚠️ PE สูงกว่า ROIC = ต้องโตให้คุ้ม</v>
      </c>
      <c r="CH44" s="21" t="str">
        <f t="shared" si="220"/>
        <v>⚠️ PE สูงกว่า ROIC = ต้องโตให้คุ้ม</v>
      </c>
      <c r="CI44" s="21" t="str">
        <f t="shared" si="220"/>
        <v>⚠️ PE สูงกว่า ROIC = ต้องโตให้คุ้ม</v>
      </c>
      <c r="CJ44" s="21" t="str">
        <f t="shared" si="220"/>
        <v>⚠️ PE สูงกว่า ROIC = ต้องโตให้คุ้ม</v>
      </c>
      <c r="CK44" s="21" t="str">
        <f t="shared" si="220"/>
        <v>⚠️ PE สูงกว่า ROIC = ต้องโตให้คุ้ม</v>
      </c>
      <c r="CL44" s="21" t="str">
        <f t="shared" si="220"/>
        <v>✅ PE ต่ำกว่า ROIC = น่าสนใจ</v>
      </c>
      <c r="CM44" s="21" t="str">
        <f t="shared" si="220"/>
        <v>⚠️ PE สูงกว่า ROIC = ต้องโตให้คุ้ม</v>
      </c>
      <c r="CN44" s="21" t="str">
        <f t="shared" si="220"/>
        <v>⚠️ PE สูงกว่า ROIC = ต้องโตให้คุ้ม</v>
      </c>
      <c r="CO44" s="21" t="str">
        <f t="shared" si="220"/>
        <v>⚠️ PE สูงกว่า ROIC = ต้องโตให้คุ้ม</v>
      </c>
      <c r="CP44" s="21" t="str">
        <f t="shared" si="220"/>
        <v>⚠️ PE สูงกว่า ROIC = ต้องโตให้คุ้ม</v>
      </c>
      <c r="CQ44" s="21" t="str">
        <f t="shared" si="220"/>
        <v>⚠️ PE สูงกว่า ROIC = ต้องโตให้คุ้ม</v>
      </c>
      <c r="CR44" s="21" t="str">
        <f t="shared" si="220"/>
        <v>✅ PE ต่ำกว่า ROIC = น่าสนใจ</v>
      </c>
      <c r="CS44" s="21" t="str">
        <f t="shared" si="220"/>
        <v>⚠️ PE สูงกว่า ROIC = ต้องโตให้คุ้ม</v>
      </c>
      <c r="CT44" s="21" t="str">
        <f t="shared" si="220"/>
        <v>✅ PE ต่ำกว่า ROIC = น่าสนใจ</v>
      </c>
      <c r="CU44" s="21" t="str">
        <f t="shared" si="220"/>
        <v>⚠️ PE สูงกว่า ROIC = ต้องโตให้คุ้ม</v>
      </c>
      <c r="CV44" s="21" t="str">
        <f t="shared" si="220"/>
        <v>⚠️ PE สูงกว่า ROIC = ต้องโตให้คุ้ม</v>
      </c>
      <c r="CW44" s="21" t="str">
        <f t="shared" si="220"/>
        <v>⚠️ PE สูงกว่า ROIC = ต้องโตให้คุ้ม</v>
      </c>
      <c r="CX44" s="21" t="str">
        <f t="shared" si="220"/>
        <v>⚠️ PE สูงกว่า ROIC = ต้องโตให้คุ้ม</v>
      </c>
      <c r="CY44" s="21" t="str">
        <f t="shared" si="220"/>
        <v>⚠️ PE สูงกว่า ROIC = ต้องโตให้คุ้ม</v>
      </c>
      <c r="CZ44" s="21" t="str">
        <f t="shared" si="220"/>
        <v>✅ PE ต่ำกว่า ROIC = น่าสนใจ</v>
      </c>
      <c r="DA44" s="21" t="str">
        <f t="shared" si="220"/>
        <v>⚠️ PE สูงกว่า ROIC = ต้องโตให้คุ้ม</v>
      </c>
      <c r="DB44" s="21" t="str">
        <f t="shared" si="220"/>
        <v>⚠️ PE สูงกว่า ROIC = ต้องโตให้คุ้ม</v>
      </c>
      <c r="DC44" s="21" t="str">
        <f t="shared" si="220"/>
        <v>✅ PE ต่ำกว่า ROIC = น่าสนใจ</v>
      </c>
      <c r="DD44" s="21" t="str">
        <f t="shared" si="220"/>
        <v>⚠️ PE สูงกว่า ROIC = ต้องโตให้คุ้ม</v>
      </c>
      <c r="DE44" s="21" t="str">
        <f t="shared" si="220"/>
        <v>⚠️ PE สูงกว่า ROIC = ต้องโตให้คุ้ม</v>
      </c>
      <c r="DF44" s="21" t="str">
        <f t="shared" si="220"/>
        <v>⚠️ PE สูงกว่า ROIC = ต้องโตให้คุ้ม</v>
      </c>
      <c r="DG44" s="21" t="str">
        <f t="shared" si="220"/>
        <v>⚠️ PE สูงกว่า ROIC = ต้องโตให้คุ้ม</v>
      </c>
      <c r="DH44" s="21" t="str">
        <f t="shared" si="220"/>
        <v>⚠️ PE สูงกว่า ROIC = ต้องโตให้คุ้ม</v>
      </c>
      <c r="DI44" s="21" t="str">
        <f t="shared" si="220"/>
        <v>⚠️ PE สูงกว่า ROIC = ต้องโตให้คุ้ม</v>
      </c>
      <c r="DJ44" s="21" t="str">
        <f t="shared" si="220"/>
        <v>✅ PE ต่ำกว่า ROIC = น่าสนใจ</v>
      </c>
      <c r="DK44" s="21" t="str">
        <f t="shared" si="220"/>
        <v>⚠️ PE สูงกว่า ROIC = ต้องโตให้คุ้ม</v>
      </c>
      <c r="DL44" s="21" t="str">
        <f t="shared" si="220"/>
        <v>⚠️ PE สูงกว่า ROIC = ต้องโตให้คุ้ม</v>
      </c>
      <c r="DM44" s="21" t="str">
        <f t="shared" si="220"/>
        <v>✅ PE ต่ำกว่า ROIC = น่าสนใจ</v>
      </c>
      <c r="DN44" s="21" t="str">
        <f t="shared" si="220"/>
        <v>⚠️ PE สูงกว่า ROIC = ต้องโตให้คุ้ม</v>
      </c>
      <c r="DO44" s="21" t="str">
        <f t="shared" si="220"/>
        <v>⚠️ PE สูงกว่า ROIC = ต้องโตให้คุ้ม</v>
      </c>
      <c r="DP44" s="21" t="str">
        <f t="shared" si="220"/>
        <v>⚠️ PE สูงกว่า ROIC = ต้องโตให้คุ้ม</v>
      </c>
      <c r="DQ44" s="21" t="str">
        <f t="shared" si="220"/>
        <v>✅ PE ต่ำกว่า ROIC = น่าสนใจ</v>
      </c>
      <c r="DR44" s="21" t="str">
        <f t="shared" si="220"/>
        <v>✅ PE ต่ำกว่า ROIC = น่าสนใจ</v>
      </c>
      <c r="DS44" s="21" t="str">
        <f t="shared" si="220"/>
        <v>✅ PE ต่ำกว่า ROIC = น่าสนใจ</v>
      </c>
      <c r="DT44" s="21" t="str">
        <f t="shared" si="220"/>
        <v>⚠️ PE สูงกว่า ROIC = ต้องโตให้คุ้ม</v>
      </c>
      <c r="DU44" s="21" t="str">
        <f t="shared" si="220"/>
        <v>⚠️ PE สูงกว่า ROIC = ต้องโตให้คุ้ม</v>
      </c>
      <c r="DV44" s="21" t="str">
        <f t="shared" si="220"/>
        <v>⚠️ PE สูงกว่า ROIC = ต้องโตให้คุ้ม</v>
      </c>
      <c r="DW44" s="21" t="str">
        <f t="shared" si="220"/>
        <v>⚠️ PE สูงกว่า ROIC = ต้องโตให้คุ้ม</v>
      </c>
      <c r="DX44" s="21" t="str">
        <f t="shared" ref="DX44:FA44" si="221">IF(DX6 &lt; DX18, "✅ PE ต่ำกว่า ROIC = น่าสนใจ", "⚠️ PE สูงกว่า ROIC = ต้องโตให้คุ้ม")</f>
        <v>⚠️ PE สูงกว่า ROIC = ต้องโตให้คุ้ม</v>
      </c>
      <c r="DY44" s="21" t="str">
        <f t="shared" si="221"/>
        <v>⚠️ PE สูงกว่า ROIC = ต้องโตให้คุ้ม</v>
      </c>
      <c r="DZ44" s="21" t="str">
        <f t="shared" si="221"/>
        <v>✅ PE ต่ำกว่า ROIC = น่าสนใจ</v>
      </c>
      <c r="EA44" s="21" t="str">
        <f t="shared" si="221"/>
        <v>⚠️ PE สูงกว่า ROIC = ต้องโตให้คุ้ม</v>
      </c>
      <c r="EB44" s="21" t="str">
        <f t="shared" si="221"/>
        <v>⚠️ PE สูงกว่า ROIC = ต้องโตให้คุ้ม</v>
      </c>
      <c r="EC44" s="21" t="str">
        <f t="shared" si="221"/>
        <v>⚠️ PE สูงกว่า ROIC = ต้องโตให้คุ้ม</v>
      </c>
      <c r="ED44" s="21" t="str">
        <f t="shared" si="221"/>
        <v>⚠️ PE สูงกว่า ROIC = ต้องโตให้คุ้ม</v>
      </c>
      <c r="EE44" s="21" t="str">
        <f t="shared" si="221"/>
        <v>⚠️ PE สูงกว่า ROIC = ต้องโตให้คุ้ม</v>
      </c>
      <c r="EF44" s="21" t="str">
        <f t="shared" si="221"/>
        <v>⚠️ PE สูงกว่า ROIC = ต้องโตให้คุ้ม</v>
      </c>
      <c r="EG44" s="21" t="str">
        <f t="shared" si="221"/>
        <v>⚠️ PE สูงกว่า ROIC = ต้องโตให้คุ้ม</v>
      </c>
      <c r="EH44" s="21" t="str">
        <f t="shared" si="221"/>
        <v>⚠️ PE สูงกว่า ROIC = ต้องโตให้คุ้ม</v>
      </c>
      <c r="EI44" s="21" t="str">
        <f t="shared" si="221"/>
        <v>⚠️ PE สูงกว่า ROIC = ต้องโตให้คุ้ม</v>
      </c>
      <c r="EJ44" s="21" t="str">
        <f t="shared" si="221"/>
        <v>⚠️ PE สูงกว่า ROIC = ต้องโตให้คุ้ม</v>
      </c>
      <c r="EK44" s="21" t="str">
        <f t="shared" si="221"/>
        <v>⚠️ PE สูงกว่า ROIC = ต้องโตให้คุ้ม</v>
      </c>
      <c r="EL44" s="21" t="str">
        <f t="shared" si="221"/>
        <v>⚠️ PE สูงกว่า ROIC = ต้องโตให้คุ้ม</v>
      </c>
      <c r="EM44" s="21" t="str">
        <f t="shared" si="221"/>
        <v>⚠️ PE สูงกว่า ROIC = ต้องโตให้คุ้ม</v>
      </c>
      <c r="EN44" s="21" t="str">
        <f t="shared" si="221"/>
        <v>✅ PE ต่ำกว่า ROIC = น่าสนใจ</v>
      </c>
      <c r="EO44" s="45" t="str">
        <f t="shared" si="221"/>
        <v>✅ PE ต่ำกว่า ROIC = น่าสนใจ</v>
      </c>
      <c r="EZ44" s="42" t="str">
        <f t="shared" si="221"/>
        <v>⚠️ PE สูงกว่า ROIC = ต้องโตให้คุ้ม</v>
      </c>
      <c r="FA44" s="30" t="str">
        <f t="shared" si="221"/>
        <v>✅ PE ต่ำกว่า ROIC = น่าสนใจ</v>
      </c>
      <c r="FB44" s="30" t="str">
        <f t="shared" ref="FB44:HM44" si="222">IF(FB6 &lt; FB18, "✅ PE ต่ำกว่า ROIC = น่าสนใจ", "⚠️ PE สูงกว่า ROIC = ต้องโตให้คุ้ม")</f>
        <v>⚠️ PE สูงกว่า ROIC = ต้องโตให้คุ้ม</v>
      </c>
      <c r="FC44" s="30" t="str">
        <f t="shared" si="222"/>
        <v>⚠️ PE สูงกว่า ROIC = ต้องโตให้คุ้ม</v>
      </c>
      <c r="FD44" s="30" t="str">
        <f t="shared" si="222"/>
        <v>⚠️ PE สูงกว่า ROIC = ต้องโตให้คุ้ม</v>
      </c>
      <c r="FE44" s="30" t="str">
        <f t="shared" si="222"/>
        <v>⚠️ PE สูงกว่า ROIC = ต้องโตให้คุ้ม</v>
      </c>
      <c r="FF44" s="30" t="str">
        <f t="shared" si="222"/>
        <v>⚠️ PE สูงกว่า ROIC = ต้องโตให้คุ้ม</v>
      </c>
      <c r="FG44" s="30" t="str">
        <f t="shared" si="222"/>
        <v>⚠️ PE สูงกว่า ROIC = ต้องโตให้คุ้ม</v>
      </c>
      <c r="FH44" s="30" t="str">
        <f t="shared" si="222"/>
        <v>⚠️ PE สูงกว่า ROIC = ต้องโตให้คุ้ม</v>
      </c>
      <c r="FI44" s="30" t="str">
        <f t="shared" si="222"/>
        <v>⚠️ PE สูงกว่า ROIC = ต้องโตให้คุ้ม</v>
      </c>
      <c r="FJ44" s="30" t="str">
        <f t="shared" si="222"/>
        <v>⚠️ PE สูงกว่า ROIC = ต้องโตให้คุ้ม</v>
      </c>
      <c r="FK44" s="30" t="str">
        <f t="shared" si="222"/>
        <v>⚠️ PE สูงกว่า ROIC = ต้องโตให้คุ้ม</v>
      </c>
      <c r="FL44" s="30" t="str">
        <f t="shared" si="222"/>
        <v>⚠️ PE สูงกว่า ROIC = ต้องโตให้คุ้ม</v>
      </c>
      <c r="FM44" s="30" t="str">
        <f t="shared" si="222"/>
        <v>⚠️ PE สูงกว่า ROIC = ต้องโตให้คุ้ม</v>
      </c>
      <c r="FN44" s="30" t="str">
        <f t="shared" si="222"/>
        <v>⚠️ PE สูงกว่า ROIC = ต้องโตให้คุ้ม</v>
      </c>
      <c r="FO44" s="30" t="str">
        <f t="shared" si="222"/>
        <v>✅ PE ต่ำกว่า ROIC = น่าสนใจ</v>
      </c>
      <c r="FP44" s="30" t="str">
        <f t="shared" si="222"/>
        <v>✅ PE ต่ำกว่า ROIC = น่าสนใจ</v>
      </c>
      <c r="FQ44" s="30" t="str">
        <f t="shared" si="222"/>
        <v>⚠️ PE สูงกว่า ROIC = ต้องโตให้คุ้ม</v>
      </c>
      <c r="FR44" s="30" t="str">
        <f t="shared" si="222"/>
        <v>⚠️ PE สูงกว่า ROIC = ต้องโตให้คุ้ม</v>
      </c>
      <c r="FS44" s="30" t="str">
        <f t="shared" si="222"/>
        <v>⚠️ PE สูงกว่า ROIC = ต้องโตให้คุ้ม</v>
      </c>
      <c r="FT44" s="30" t="str">
        <f t="shared" si="222"/>
        <v>⚠️ PE สูงกว่า ROIC = ต้องโตให้คุ้ม</v>
      </c>
      <c r="FU44" s="30" t="str">
        <f t="shared" si="222"/>
        <v>⚠️ PE สูงกว่า ROIC = ต้องโตให้คุ้ม</v>
      </c>
      <c r="FV44" s="30" t="str">
        <f t="shared" si="222"/>
        <v>⚠️ PE สูงกว่า ROIC = ต้องโตให้คุ้ม</v>
      </c>
      <c r="FW44" s="30" t="str">
        <f t="shared" si="222"/>
        <v>⚠️ PE สูงกว่า ROIC = ต้องโตให้คุ้ม</v>
      </c>
      <c r="FX44" s="30" t="str">
        <f t="shared" si="222"/>
        <v>⚠️ PE สูงกว่า ROIC = ต้องโตให้คุ้ม</v>
      </c>
      <c r="FY44" s="30" t="str">
        <f t="shared" si="222"/>
        <v>⚠️ PE สูงกว่า ROIC = ต้องโตให้คุ้ม</v>
      </c>
      <c r="FZ44" s="30" t="str">
        <f t="shared" si="222"/>
        <v>⚠️ PE สูงกว่า ROIC = ต้องโตให้คุ้ม</v>
      </c>
      <c r="GA44" s="30" t="str">
        <f t="shared" si="222"/>
        <v>⚠️ PE สูงกว่า ROIC = ต้องโตให้คุ้ม</v>
      </c>
      <c r="GB44" s="30" t="str">
        <f t="shared" si="222"/>
        <v>⚠️ PE สูงกว่า ROIC = ต้องโตให้คุ้ม</v>
      </c>
      <c r="GC44" s="30" t="str">
        <f t="shared" si="222"/>
        <v>⚠️ PE สูงกว่า ROIC = ต้องโตให้คุ้ม</v>
      </c>
      <c r="GD44" s="30" t="str">
        <f t="shared" si="222"/>
        <v>✅ PE ต่ำกว่า ROIC = น่าสนใจ</v>
      </c>
      <c r="GE44" s="30" t="str">
        <f t="shared" si="222"/>
        <v>⚠️ PE สูงกว่า ROIC = ต้องโตให้คุ้ม</v>
      </c>
      <c r="GF44" s="30" t="str">
        <f t="shared" si="222"/>
        <v>⚠️ PE สูงกว่า ROIC = ต้องโตให้คุ้ม</v>
      </c>
      <c r="GG44" s="30" t="str">
        <f t="shared" si="222"/>
        <v>⚠️ PE สูงกว่า ROIC = ต้องโตให้คุ้ม</v>
      </c>
      <c r="GH44" s="30" t="str">
        <f t="shared" si="222"/>
        <v>⚠️ PE สูงกว่า ROIC = ต้องโตให้คุ้ม</v>
      </c>
      <c r="GI44" s="30" t="str">
        <f t="shared" si="222"/>
        <v>⚠️ PE สูงกว่า ROIC = ต้องโตให้คุ้ม</v>
      </c>
      <c r="GJ44" s="30" t="str">
        <f t="shared" si="222"/>
        <v>⚠️ PE สูงกว่า ROIC = ต้องโตให้คุ้ม</v>
      </c>
      <c r="GK44" s="30" t="str">
        <f t="shared" si="222"/>
        <v>⚠️ PE สูงกว่า ROIC = ต้องโตให้คุ้ม</v>
      </c>
      <c r="GL44" s="30" t="str">
        <f t="shared" si="222"/>
        <v>⚠️ PE สูงกว่า ROIC = ต้องโตให้คุ้ม</v>
      </c>
      <c r="GM44" s="30" t="str">
        <f t="shared" si="222"/>
        <v>⚠️ PE สูงกว่า ROIC = ต้องโตให้คุ้ม</v>
      </c>
      <c r="GN44" s="30" t="str">
        <f t="shared" si="222"/>
        <v>⚠️ PE สูงกว่า ROIC = ต้องโตให้คุ้ม</v>
      </c>
      <c r="GO44" s="30" t="str">
        <f t="shared" si="222"/>
        <v>⚠️ PE สูงกว่า ROIC = ต้องโตให้คุ้ม</v>
      </c>
      <c r="GP44" s="30" t="str">
        <f t="shared" si="222"/>
        <v>⚠️ PE สูงกว่า ROIC = ต้องโตให้คุ้ม</v>
      </c>
      <c r="GQ44" s="30" t="str">
        <f t="shared" si="222"/>
        <v>⚠️ PE สูงกว่า ROIC = ต้องโตให้คุ้ม</v>
      </c>
      <c r="GR44" s="30" t="str">
        <f t="shared" si="222"/>
        <v>⚠️ PE สูงกว่า ROIC = ต้องโตให้คุ้ม</v>
      </c>
      <c r="GS44" s="30" t="str">
        <f t="shared" si="222"/>
        <v>⚠️ PE สูงกว่า ROIC = ต้องโตให้คุ้ม</v>
      </c>
      <c r="GT44" s="30" t="str">
        <f t="shared" si="222"/>
        <v>⚠️ PE สูงกว่า ROIC = ต้องโตให้คุ้ม</v>
      </c>
      <c r="GU44" s="30" t="str">
        <f t="shared" si="222"/>
        <v>⚠️ PE สูงกว่า ROIC = ต้องโตให้คุ้ม</v>
      </c>
      <c r="GV44" s="30" t="str">
        <f t="shared" si="222"/>
        <v>⚠️ PE สูงกว่า ROIC = ต้องโตให้คุ้ม</v>
      </c>
      <c r="GW44" s="30" t="str">
        <f t="shared" si="222"/>
        <v>⚠️ PE สูงกว่า ROIC = ต้องโตให้คุ้ม</v>
      </c>
      <c r="GX44" s="30" t="str">
        <f t="shared" si="222"/>
        <v>⚠️ PE สูงกว่า ROIC = ต้องโตให้คุ้ม</v>
      </c>
      <c r="GY44" s="30" t="str">
        <f t="shared" si="222"/>
        <v>⚠️ PE สูงกว่า ROIC = ต้องโตให้คุ้ม</v>
      </c>
      <c r="GZ44" s="30" t="str">
        <f t="shared" si="222"/>
        <v>⚠️ PE สูงกว่า ROIC = ต้องโตให้คุ้ม</v>
      </c>
      <c r="HA44" s="30" t="str">
        <f t="shared" si="222"/>
        <v>⚠️ PE สูงกว่า ROIC = ต้องโตให้คุ้ม</v>
      </c>
      <c r="HB44" s="30" t="str">
        <f t="shared" si="222"/>
        <v>⚠️ PE สูงกว่า ROIC = ต้องโตให้คุ้ม</v>
      </c>
      <c r="HC44" s="30" t="str">
        <f t="shared" si="222"/>
        <v>✅ PE ต่ำกว่า ROIC = น่าสนใจ</v>
      </c>
      <c r="HD44" s="30" t="str">
        <f t="shared" si="222"/>
        <v>⚠️ PE สูงกว่า ROIC = ต้องโตให้คุ้ม</v>
      </c>
      <c r="HE44" s="30" t="str">
        <f t="shared" si="222"/>
        <v>⚠️ PE สูงกว่า ROIC = ต้องโตให้คุ้ม</v>
      </c>
      <c r="HF44" s="30" t="str">
        <f t="shared" si="222"/>
        <v>⚠️ PE สูงกว่า ROIC = ต้องโตให้คุ้ม</v>
      </c>
      <c r="HG44" s="30" t="str">
        <f t="shared" si="222"/>
        <v>⚠️ PE สูงกว่า ROIC = ต้องโตให้คุ้ม</v>
      </c>
      <c r="HH44" s="30" t="str">
        <f t="shared" si="222"/>
        <v>⚠️ PE สูงกว่า ROIC = ต้องโตให้คุ้ม</v>
      </c>
      <c r="HI44" s="30" t="str">
        <f t="shared" si="222"/>
        <v>✅ PE ต่ำกว่า ROIC = น่าสนใจ</v>
      </c>
      <c r="HJ44" s="30" t="str">
        <f t="shared" si="222"/>
        <v>⚠️ PE สูงกว่า ROIC = ต้องโตให้คุ้ม</v>
      </c>
      <c r="HK44" s="30" t="str">
        <f t="shared" si="222"/>
        <v>⚠️ PE สูงกว่า ROIC = ต้องโตให้คุ้ม</v>
      </c>
      <c r="HL44" s="30" t="str">
        <f t="shared" si="222"/>
        <v>⚠️ PE สูงกว่า ROIC = ต้องโตให้คุ้ม</v>
      </c>
      <c r="HM44" s="21" t="str">
        <f t="shared" si="222"/>
        <v>⚠️ PE สูงกว่า ROIC = ต้องโตให้คุ้ม</v>
      </c>
      <c r="HN44" s="21" t="str">
        <f t="shared" ref="HN44:HP44" si="223">IF(HN6 &lt; HN18, "✅ PE ต่ำกว่า ROIC = น่าสนใจ", "⚠️ PE สูงกว่า ROIC = ต้องโตให้คุ้ม")</f>
        <v>⚠️ PE สูงกว่า ROIC = ต้องโตให้คุ้ม</v>
      </c>
      <c r="HO44" s="21" t="str">
        <f t="shared" si="223"/>
        <v>⚠️ PE สูงกว่า ROIC = ต้องโตให้คุ้ม</v>
      </c>
      <c r="HP44" s="21" t="str">
        <f t="shared" si="223"/>
        <v>⚠️ PE สูงกว่า ROIC = ต้องโตให้คุ้ม</v>
      </c>
      <c r="HQ44" s="21" t="str">
        <f t="shared" ref="HQ44:HV44" si="224">IF(HQ6 &lt; HQ18, "✅ PE ต่ำกว่า ROIC = น่าสนใจ", "⚠️ PE สูงกว่า ROIC = ต้องโตให้คุ้ม")</f>
        <v>⚠️ PE สูงกว่า ROIC = ต้องโตให้คุ้ม</v>
      </c>
      <c r="HR44" s="21" t="str">
        <f t="shared" si="224"/>
        <v>⚠️ PE สูงกว่า ROIC = ต้องโตให้คุ้ม</v>
      </c>
      <c r="HS44" s="21" t="str">
        <f t="shared" si="224"/>
        <v>⚠️ PE สูงกว่า ROIC = ต้องโตให้คุ้ม</v>
      </c>
      <c r="HT44" s="21" t="str">
        <f t="shared" si="224"/>
        <v>⚠️ PE สูงกว่า ROIC = ต้องโตให้คุ้ม</v>
      </c>
      <c r="HU44" s="21" t="str">
        <f t="shared" si="224"/>
        <v>⚠️ PE สูงกว่า ROIC = ต้องโตให้คุ้ม</v>
      </c>
      <c r="HV44" s="21" t="str">
        <f t="shared" si="224"/>
        <v>⚠️ PE สูงกว่า ROIC = ต้องโตให้คุ้ม</v>
      </c>
      <c r="HW44" s="30" t="str">
        <f t="shared" ref="HW44:HX44" si="225">IF(HW6 &lt; HW18, "✅ PE ต่ำกว่า ROIC = น่าสนใจ", "⚠️ PE สูงกว่า ROIC = ต้องโตให้คุ้ม")</f>
        <v>✅ PE ต่ำกว่า ROIC = น่าสนใจ</v>
      </c>
      <c r="HX44" s="30" t="str">
        <f t="shared" ref="HX44:HY44" si="226">IF(HX6 &lt; HX18, "✅ PE ต่ำกว่า ROIC = น่าสนใจ", "⚠️ PE สูงกว่า ROIC = ต้องโตให้คุ้ม")</f>
        <v>⚠️ PE สูงกว่า ROIC = ต้องโตให้คุ้ม</v>
      </c>
      <c r="HY44" s="30" t="str">
        <f t="shared" si="226"/>
        <v>⚠️ PE สูงกว่า ROIC = ต้องโตให้คุ้ม</v>
      </c>
    </row>
    <row r="45" spans="1:233" ht="24" customHeight="1" x14ac:dyDescent="0.5">
      <c r="A45" s="51"/>
      <c r="B45" s="21" t="str">
        <f t="shared" ref="B45:C45" si="227">IF(B32 &lt;= B33, "✅ EV/Sales ต่ำกว่าหรือเท่ากับ ATOM ÷ 2", "⚠️ EV/Sales แพงเกินกำไรตอนนี้")</f>
        <v>⚠️ EV/Sales แพงเกินกำไรตอนนี้</v>
      </c>
      <c r="C45" s="21" t="str">
        <f t="shared" si="227"/>
        <v>⚠️ EV/Sales แพงเกินกำไรตอนนี้</v>
      </c>
      <c r="D45" s="21" t="str">
        <f t="shared" ref="D45:AB45" si="228">IF(D32 &lt;= D33, "✅ EV/Sales ต่ำกว่าหรือเท่ากับ ATOM ÷ 2", "⚠️ EV/Sales แพงเกินกำไรตอนนี้")</f>
        <v>⚠️ EV/Sales แพงเกินกำไรตอนนี้</v>
      </c>
      <c r="E45" s="21" t="str">
        <f t="shared" si="228"/>
        <v>⚠️ EV/Sales แพงเกินกำไรตอนนี้</v>
      </c>
      <c r="F45" s="21" t="str">
        <f t="shared" si="228"/>
        <v>⚠️ EV/Sales แพงเกินกำไรตอนนี้</v>
      </c>
      <c r="G45" s="21" t="str">
        <f t="shared" si="228"/>
        <v>⚠️ EV/Sales แพงเกินกำไรตอนนี้</v>
      </c>
      <c r="H45" s="21" t="str">
        <f t="shared" si="228"/>
        <v>⚠️ EV/Sales แพงเกินกำไรตอนนี้</v>
      </c>
      <c r="I45" s="21" t="str">
        <f t="shared" si="228"/>
        <v>⚠️ EV/Sales แพงเกินกำไรตอนนี้</v>
      </c>
      <c r="J45" s="21" t="str">
        <f t="shared" si="228"/>
        <v>⚠️ EV/Sales แพงเกินกำไรตอนนี้</v>
      </c>
      <c r="K45" s="21" t="str">
        <f t="shared" si="228"/>
        <v>⚠️ EV/Sales แพงเกินกำไรตอนนี้</v>
      </c>
      <c r="L45" s="21" t="str">
        <f t="shared" si="228"/>
        <v>⚠️ EV/Sales แพงเกินกำไรตอนนี้</v>
      </c>
      <c r="M45" s="21" t="str">
        <f t="shared" si="228"/>
        <v>⚠️ EV/Sales แพงเกินกำไรตอนนี้</v>
      </c>
      <c r="N45" s="21" t="str">
        <f t="shared" si="228"/>
        <v>⚠️ EV/Sales แพงเกินกำไรตอนนี้</v>
      </c>
      <c r="O45" s="21" t="str">
        <f t="shared" si="228"/>
        <v>⚠️ EV/Sales แพงเกินกำไรตอนนี้</v>
      </c>
      <c r="P45" s="21" t="str">
        <f t="shared" si="228"/>
        <v>⚠️ EV/Sales แพงเกินกำไรตอนนี้</v>
      </c>
      <c r="Q45" s="21" t="str">
        <f t="shared" si="228"/>
        <v>⚠️ EV/Sales แพงเกินกำไรตอนนี้</v>
      </c>
      <c r="R45" s="21" t="str">
        <f t="shared" si="228"/>
        <v>⚠️ EV/Sales แพงเกินกำไรตอนนี้</v>
      </c>
      <c r="S45" s="21" t="str">
        <f t="shared" si="228"/>
        <v>⚠️ EV/Sales แพงเกินกำไรตอนนี้</v>
      </c>
      <c r="T45" s="21" t="str">
        <f t="shared" si="228"/>
        <v>⚠️ EV/Sales แพงเกินกำไรตอนนี้</v>
      </c>
      <c r="U45" s="21" t="str">
        <f t="shared" si="228"/>
        <v>⚠️ EV/Sales แพงเกินกำไรตอนนี้</v>
      </c>
      <c r="V45" s="21" t="str">
        <f t="shared" si="228"/>
        <v>⚠️ EV/Sales แพงเกินกำไรตอนนี้</v>
      </c>
      <c r="W45" s="21" t="str">
        <f t="shared" si="228"/>
        <v>⚠️ EV/Sales แพงเกินกำไรตอนนี้</v>
      </c>
      <c r="X45" s="21" t="str">
        <f t="shared" si="228"/>
        <v>⚠️ EV/Sales แพงเกินกำไรตอนนี้</v>
      </c>
      <c r="Y45" s="21" t="str">
        <f t="shared" si="228"/>
        <v>⚠️ EV/Sales แพงเกินกำไรตอนนี้</v>
      </c>
      <c r="Z45" s="21" t="str">
        <f t="shared" si="228"/>
        <v>⚠️ EV/Sales แพงเกินกำไรตอนนี้</v>
      </c>
      <c r="AA45" s="21" t="str">
        <f t="shared" si="228"/>
        <v>⚠️ EV/Sales แพงเกินกำไรตอนนี้</v>
      </c>
      <c r="AB45" s="21" t="str">
        <f t="shared" si="228"/>
        <v>⚠️ EV/Sales แพงเกินกำไรตอนนี้</v>
      </c>
      <c r="AC45" s="21" t="str">
        <f t="shared" ref="AC45:BE45" si="229">IF(AC32 &lt;= AC33, "✅ EV/Sales ต่ำกว่าหรือเท่ากับ ATOM ÷ 2", "⚠️ EV/Sales แพงเกินกำไรตอนนี้")</f>
        <v>⚠️ EV/Sales แพงเกินกำไรตอนนี้</v>
      </c>
      <c r="AD45" s="21" t="str">
        <f t="shared" si="229"/>
        <v>⚠️ EV/Sales แพงเกินกำไรตอนนี้</v>
      </c>
      <c r="AE45" s="21" t="str">
        <f t="shared" si="229"/>
        <v>⚠️ EV/Sales แพงเกินกำไรตอนนี้</v>
      </c>
      <c r="AF45" s="21" t="str">
        <f t="shared" si="229"/>
        <v>⚠️ EV/Sales แพงเกินกำไรตอนนี้</v>
      </c>
      <c r="AG45" s="21" t="str">
        <f t="shared" si="229"/>
        <v>⚠️ EV/Sales แพงเกินกำไรตอนนี้</v>
      </c>
      <c r="AH45" s="21" t="str">
        <f t="shared" si="229"/>
        <v>⚠️ EV/Sales แพงเกินกำไรตอนนี้</v>
      </c>
      <c r="AI45" s="21" t="str">
        <f t="shared" si="229"/>
        <v>⚠️ EV/Sales แพงเกินกำไรตอนนี้</v>
      </c>
      <c r="AJ45" s="21" t="str">
        <f t="shared" si="229"/>
        <v>⚠️ EV/Sales แพงเกินกำไรตอนนี้</v>
      </c>
      <c r="AK45" s="21" t="str">
        <f t="shared" si="229"/>
        <v>⚠️ EV/Sales แพงเกินกำไรตอนนี้</v>
      </c>
      <c r="AL45" s="21" t="str">
        <f t="shared" si="229"/>
        <v>⚠️ EV/Sales แพงเกินกำไรตอนนี้</v>
      </c>
      <c r="AM45" s="21" t="str">
        <f t="shared" si="229"/>
        <v>⚠️ EV/Sales แพงเกินกำไรตอนนี้</v>
      </c>
      <c r="AN45" s="21" t="str">
        <f t="shared" si="229"/>
        <v>⚠️ EV/Sales แพงเกินกำไรตอนนี้</v>
      </c>
      <c r="AO45" s="21" t="str">
        <f t="shared" si="229"/>
        <v>⚠️ EV/Sales แพงเกินกำไรตอนนี้</v>
      </c>
      <c r="AP45" s="21" t="str">
        <f t="shared" si="229"/>
        <v>⚠️ EV/Sales แพงเกินกำไรตอนนี้</v>
      </c>
      <c r="AQ45" s="21" t="str">
        <f t="shared" si="229"/>
        <v>⚠️ EV/Sales แพงเกินกำไรตอนนี้</v>
      </c>
      <c r="AR45" s="21" t="str">
        <f t="shared" si="229"/>
        <v>⚠️ EV/Sales แพงเกินกำไรตอนนี้</v>
      </c>
      <c r="AS45" s="21" t="str">
        <f t="shared" si="229"/>
        <v>⚠️ EV/Sales แพงเกินกำไรตอนนี้</v>
      </c>
      <c r="AT45" s="21" t="str">
        <f t="shared" si="229"/>
        <v>⚠️ EV/Sales แพงเกินกำไรตอนนี้</v>
      </c>
      <c r="AU45" s="21" t="str">
        <f t="shared" si="229"/>
        <v>⚠️ EV/Sales แพงเกินกำไรตอนนี้</v>
      </c>
      <c r="AV45" s="21" t="str">
        <f t="shared" si="229"/>
        <v>⚠️ EV/Sales แพงเกินกำไรตอนนี้</v>
      </c>
      <c r="AW45" s="21" t="str">
        <f t="shared" si="229"/>
        <v>⚠️ EV/Sales แพงเกินกำไรตอนนี้</v>
      </c>
      <c r="AX45" s="21" t="str">
        <f t="shared" si="229"/>
        <v>⚠️ EV/Sales แพงเกินกำไรตอนนี้</v>
      </c>
      <c r="AY45" s="21" t="str">
        <f t="shared" si="229"/>
        <v>⚠️ EV/Sales แพงเกินกำไรตอนนี้</v>
      </c>
      <c r="AZ45" s="21" t="str">
        <f t="shared" si="229"/>
        <v>⚠️ EV/Sales แพงเกินกำไรตอนนี้</v>
      </c>
      <c r="BA45" s="21" t="str">
        <f t="shared" si="229"/>
        <v>⚠️ EV/Sales แพงเกินกำไรตอนนี้</v>
      </c>
      <c r="BB45" s="21" t="str">
        <f t="shared" si="229"/>
        <v>⚠️ EV/Sales แพงเกินกำไรตอนนี้</v>
      </c>
      <c r="BC45" s="21" t="str">
        <f t="shared" si="229"/>
        <v>⚠️ EV/Sales แพงเกินกำไรตอนนี้</v>
      </c>
      <c r="BD45" s="21" t="str">
        <f t="shared" si="229"/>
        <v>⚠️ EV/Sales แพงเกินกำไรตอนนี้</v>
      </c>
      <c r="BE45" s="21" t="str">
        <f t="shared" si="229"/>
        <v>⚠️ EV/Sales แพงเกินกำไรตอนนี้</v>
      </c>
      <c r="BF45" s="21" t="str">
        <f t="shared" ref="BF45:BK45" si="230">IF(BF32 &lt;= BF33, "✅ EV/Sales ต่ำกว่าหรือเท่ากับ ATOM ÷ 2", "⚠️ EV/Sales แพงเกินกำไรตอนนี้")</f>
        <v>⚠️ EV/Sales แพงเกินกำไรตอนนี้</v>
      </c>
      <c r="BG45" s="21" t="str">
        <f t="shared" si="230"/>
        <v>⚠️ EV/Sales แพงเกินกำไรตอนนี้</v>
      </c>
      <c r="BH45" s="21" t="str">
        <f t="shared" si="230"/>
        <v>⚠️ EV/Sales แพงเกินกำไรตอนนี้</v>
      </c>
      <c r="BI45" s="21" t="str">
        <f t="shared" si="230"/>
        <v>⚠️ EV/Sales แพงเกินกำไรตอนนี้</v>
      </c>
      <c r="BJ45" s="21" t="str">
        <f t="shared" si="230"/>
        <v>⚠️ EV/Sales แพงเกินกำไรตอนนี้</v>
      </c>
      <c r="BK45" s="21" t="str">
        <f t="shared" si="230"/>
        <v>⚠️ EV/Sales แพงเกินกำไรตอนนี้</v>
      </c>
      <c r="BL45" s="21" t="str">
        <f t="shared" ref="BL45:DW45" si="231">IF(BL32 &lt;= BL33, "✅ EV/Sales ต่ำกว่าหรือเท่ากับ ATOM ÷ 2", "⚠️ EV/Sales แพงเกินกำไรตอนนี้")</f>
        <v>⚠️ EV/Sales แพงเกินกำไรตอนนี้</v>
      </c>
      <c r="BM45" s="21" t="str">
        <f t="shared" si="231"/>
        <v>⚠️ EV/Sales แพงเกินกำไรตอนนี้</v>
      </c>
      <c r="BN45" s="21" t="str">
        <f t="shared" si="231"/>
        <v>⚠️ EV/Sales แพงเกินกำไรตอนนี้</v>
      </c>
      <c r="BO45" s="21" t="str">
        <f t="shared" si="231"/>
        <v>⚠️ EV/Sales แพงเกินกำไรตอนนี้</v>
      </c>
      <c r="BP45" s="21" t="str">
        <f t="shared" si="231"/>
        <v>⚠️ EV/Sales แพงเกินกำไรตอนนี้</v>
      </c>
      <c r="BQ45" s="21" t="str">
        <f t="shared" si="231"/>
        <v>⚠️ EV/Sales แพงเกินกำไรตอนนี้</v>
      </c>
      <c r="BR45" s="21" t="str">
        <f t="shared" si="231"/>
        <v>⚠️ EV/Sales แพงเกินกำไรตอนนี้</v>
      </c>
      <c r="BS45" s="21" t="str">
        <f t="shared" si="231"/>
        <v>⚠️ EV/Sales แพงเกินกำไรตอนนี้</v>
      </c>
      <c r="BT45" s="21" t="str">
        <f t="shared" si="231"/>
        <v>⚠️ EV/Sales แพงเกินกำไรตอนนี้</v>
      </c>
      <c r="BU45" s="21" t="str">
        <f t="shared" si="231"/>
        <v>⚠️ EV/Sales แพงเกินกำไรตอนนี้</v>
      </c>
      <c r="BV45" s="21" t="str">
        <f t="shared" si="231"/>
        <v>⚠️ EV/Sales แพงเกินกำไรตอนนี้</v>
      </c>
      <c r="BW45" s="21" t="str">
        <f t="shared" si="231"/>
        <v>⚠️ EV/Sales แพงเกินกำไรตอนนี้</v>
      </c>
      <c r="BX45" s="21" t="str">
        <f t="shared" si="231"/>
        <v>⚠️ EV/Sales แพงเกินกำไรตอนนี้</v>
      </c>
      <c r="BY45" s="21" t="str">
        <f t="shared" si="231"/>
        <v>⚠️ EV/Sales แพงเกินกำไรตอนนี้</v>
      </c>
      <c r="BZ45" s="21" t="str">
        <f t="shared" si="231"/>
        <v>⚠️ EV/Sales แพงเกินกำไรตอนนี้</v>
      </c>
      <c r="CA45" s="21" t="str">
        <f t="shared" si="231"/>
        <v>⚠️ EV/Sales แพงเกินกำไรตอนนี้</v>
      </c>
      <c r="CB45" s="21" t="str">
        <f t="shared" si="231"/>
        <v>⚠️ EV/Sales แพงเกินกำไรตอนนี้</v>
      </c>
      <c r="CC45" s="21" t="str">
        <f t="shared" si="231"/>
        <v>⚠️ EV/Sales แพงเกินกำไรตอนนี้</v>
      </c>
      <c r="CD45" s="21" t="str">
        <f t="shared" si="231"/>
        <v>⚠️ EV/Sales แพงเกินกำไรตอนนี้</v>
      </c>
      <c r="CE45" s="21" t="str">
        <f t="shared" si="231"/>
        <v>⚠️ EV/Sales แพงเกินกำไรตอนนี้</v>
      </c>
      <c r="CF45" s="21" t="str">
        <f t="shared" si="231"/>
        <v>⚠️ EV/Sales แพงเกินกำไรตอนนี้</v>
      </c>
      <c r="CG45" s="21" t="str">
        <f t="shared" si="231"/>
        <v>⚠️ EV/Sales แพงเกินกำไรตอนนี้</v>
      </c>
      <c r="CH45" s="21" t="str">
        <f t="shared" si="231"/>
        <v>⚠️ EV/Sales แพงเกินกำไรตอนนี้</v>
      </c>
      <c r="CI45" s="21" t="str">
        <f t="shared" si="231"/>
        <v>⚠️ EV/Sales แพงเกินกำไรตอนนี้</v>
      </c>
      <c r="CJ45" s="21" t="str">
        <f t="shared" si="231"/>
        <v>⚠️ EV/Sales แพงเกินกำไรตอนนี้</v>
      </c>
      <c r="CK45" s="21" t="str">
        <f t="shared" si="231"/>
        <v>⚠️ EV/Sales แพงเกินกำไรตอนนี้</v>
      </c>
      <c r="CL45" s="21" t="str">
        <f t="shared" si="231"/>
        <v>⚠️ EV/Sales แพงเกินกำไรตอนนี้</v>
      </c>
      <c r="CM45" s="21" t="str">
        <f t="shared" si="231"/>
        <v>⚠️ EV/Sales แพงเกินกำไรตอนนี้</v>
      </c>
      <c r="CN45" s="21" t="str">
        <f t="shared" si="231"/>
        <v>⚠️ EV/Sales แพงเกินกำไรตอนนี้</v>
      </c>
      <c r="CO45" s="21" t="str">
        <f t="shared" si="231"/>
        <v>⚠️ EV/Sales แพงเกินกำไรตอนนี้</v>
      </c>
      <c r="CP45" s="21" t="str">
        <f t="shared" si="231"/>
        <v>⚠️ EV/Sales แพงเกินกำไรตอนนี้</v>
      </c>
      <c r="CQ45" s="21" t="str">
        <f t="shared" si="231"/>
        <v>⚠️ EV/Sales แพงเกินกำไรตอนนี้</v>
      </c>
      <c r="CR45" s="21" t="str">
        <f t="shared" si="231"/>
        <v>⚠️ EV/Sales แพงเกินกำไรตอนนี้</v>
      </c>
      <c r="CS45" s="21" t="str">
        <f t="shared" si="231"/>
        <v>⚠️ EV/Sales แพงเกินกำไรตอนนี้</v>
      </c>
      <c r="CT45" s="21" t="str">
        <f t="shared" si="231"/>
        <v>⚠️ EV/Sales แพงเกินกำไรตอนนี้</v>
      </c>
      <c r="CU45" s="21" t="str">
        <f t="shared" si="231"/>
        <v>⚠️ EV/Sales แพงเกินกำไรตอนนี้</v>
      </c>
      <c r="CV45" s="21" t="str">
        <f t="shared" si="231"/>
        <v>⚠️ EV/Sales แพงเกินกำไรตอนนี้</v>
      </c>
      <c r="CW45" s="21" t="str">
        <f t="shared" si="231"/>
        <v>⚠️ EV/Sales แพงเกินกำไรตอนนี้</v>
      </c>
      <c r="CX45" s="21" t="str">
        <f t="shared" si="231"/>
        <v>⚠️ EV/Sales แพงเกินกำไรตอนนี้</v>
      </c>
      <c r="CY45" s="21" t="str">
        <f t="shared" si="231"/>
        <v>⚠️ EV/Sales แพงเกินกำไรตอนนี้</v>
      </c>
      <c r="CZ45" s="21" t="str">
        <f t="shared" si="231"/>
        <v>⚠️ EV/Sales แพงเกินกำไรตอนนี้</v>
      </c>
      <c r="DA45" s="21" t="str">
        <f t="shared" si="231"/>
        <v>⚠️ EV/Sales แพงเกินกำไรตอนนี้</v>
      </c>
      <c r="DB45" s="21" t="str">
        <f t="shared" si="231"/>
        <v>⚠️ EV/Sales แพงเกินกำไรตอนนี้</v>
      </c>
      <c r="DC45" s="21" t="str">
        <f t="shared" si="231"/>
        <v>⚠️ EV/Sales แพงเกินกำไรตอนนี้</v>
      </c>
      <c r="DD45" s="21" t="str">
        <f t="shared" si="231"/>
        <v>⚠️ EV/Sales แพงเกินกำไรตอนนี้</v>
      </c>
      <c r="DE45" s="21" t="str">
        <f t="shared" si="231"/>
        <v>⚠️ EV/Sales แพงเกินกำไรตอนนี้</v>
      </c>
      <c r="DF45" s="21" t="str">
        <f t="shared" si="231"/>
        <v>⚠️ EV/Sales แพงเกินกำไรตอนนี้</v>
      </c>
      <c r="DG45" s="21" t="str">
        <f t="shared" si="231"/>
        <v>⚠️ EV/Sales แพงเกินกำไรตอนนี้</v>
      </c>
      <c r="DH45" s="21" t="str">
        <f t="shared" si="231"/>
        <v>⚠️ EV/Sales แพงเกินกำไรตอนนี้</v>
      </c>
      <c r="DI45" s="21" t="str">
        <f t="shared" si="231"/>
        <v>⚠️ EV/Sales แพงเกินกำไรตอนนี้</v>
      </c>
      <c r="DJ45" s="21" t="str">
        <f t="shared" si="231"/>
        <v>⚠️ EV/Sales แพงเกินกำไรตอนนี้</v>
      </c>
      <c r="DK45" s="21" t="str">
        <f t="shared" si="231"/>
        <v>⚠️ EV/Sales แพงเกินกำไรตอนนี้</v>
      </c>
      <c r="DL45" s="21" t="str">
        <f t="shared" si="231"/>
        <v>⚠️ EV/Sales แพงเกินกำไรตอนนี้</v>
      </c>
      <c r="DM45" s="21" t="str">
        <f t="shared" si="231"/>
        <v>⚠️ EV/Sales แพงเกินกำไรตอนนี้</v>
      </c>
      <c r="DN45" s="21" t="str">
        <f t="shared" si="231"/>
        <v>⚠️ EV/Sales แพงเกินกำไรตอนนี้</v>
      </c>
      <c r="DO45" s="21" t="str">
        <f t="shared" si="231"/>
        <v>⚠️ EV/Sales แพงเกินกำไรตอนนี้</v>
      </c>
      <c r="DP45" s="21" t="str">
        <f t="shared" si="231"/>
        <v>⚠️ EV/Sales แพงเกินกำไรตอนนี้</v>
      </c>
      <c r="DQ45" s="21" t="str">
        <f t="shared" si="231"/>
        <v>⚠️ EV/Sales แพงเกินกำไรตอนนี้</v>
      </c>
      <c r="DR45" s="21" t="str">
        <f t="shared" si="231"/>
        <v>⚠️ EV/Sales แพงเกินกำไรตอนนี้</v>
      </c>
      <c r="DS45" s="21" t="str">
        <f t="shared" si="231"/>
        <v>⚠️ EV/Sales แพงเกินกำไรตอนนี้</v>
      </c>
      <c r="DT45" s="21" t="str">
        <f t="shared" si="231"/>
        <v>⚠️ EV/Sales แพงเกินกำไรตอนนี้</v>
      </c>
      <c r="DU45" s="21" t="str">
        <f t="shared" si="231"/>
        <v>⚠️ EV/Sales แพงเกินกำไรตอนนี้</v>
      </c>
      <c r="DV45" s="21" t="str">
        <f t="shared" si="231"/>
        <v>⚠️ EV/Sales แพงเกินกำไรตอนนี้</v>
      </c>
      <c r="DW45" s="21" t="str">
        <f t="shared" si="231"/>
        <v>⚠️ EV/Sales แพงเกินกำไรตอนนี้</v>
      </c>
      <c r="DX45" s="21" t="str">
        <f t="shared" ref="DX45:FA45" si="232">IF(DX32 &lt;= DX33, "✅ EV/Sales ต่ำกว่าหรือเท่ากับ ATOM ÷ 2", "⚠️ EV/Sales แพงเกินกำไรตอนนี้")</f>
        <v>⚠️ EV/Sales แพงเกินกำไรตอนนี้</v>
      </c>
      <c r="DY45" s="21" t="str">
        <f t="shared" si="232"/>
        <v>⚠️ EV/Sales แพงเกินกำไรตอนนี้</v>
      </c>
      <c r="DZ45" s="21" t="str">
        <f t="shared" si="232"/>
        <v>⚠️ EV/Sales แพงเกินกำไรตอนนี้</v>
      </c>
      <c r="EA45" s="21" t="str">
        <f t="shared" si="232"/>
        <v>⚠️ EV/Sales แพงเกินกำไรตอนนี้</v>
      </c>
      <c r="EB45" s="21" t="str">
        <f t="shared" si="232"/>
        <v>⚠️ EV/Sales แพงเกินกำไรตอนนี้</v>
      </c>
      <c r="EC45" s="21" t="str">
        <f t="shared" si="232"/>
        <v>⚠️ EV/Sales แพงเกินกำไรตอนนี้</v>
      </c>
      <c r="ED45" s="21" t="str">
        <f t="shared" si="232"/>
        <v>⚠️ EV/Sales แพงเกินกำไรตอนนี้</v>
      </c>
      <c r="EE45" s="21" t="str">
        <f t="shared" si="232"/>
        <v>⚠️ EV/Sales แพงเกินกำไรตอนนี้</v>
      </c>
      <c r="EF45" s="21" t="str">
        <f t="shared" si="232"/>
        <v>⚠️ EV/Sales แพงเกินกำไรตอนนี้</v>
      </c>
      <c r="EG45" s="21" t="str">
        <f t="shared" si="232"/>
        <v>⚠️ EV/Sales แพงเกินกำไรตอนนี้</v>
      </c>
      <c r="EH45" s="21" t="str">
        <f t="shared" si="232"/>
        <v>⚠️ EV/Sales แพงเกินกำไรตอนนี้</v>
      </c>
      <c r="EI45" s="21" t="str">
        <f t="shared" si="232"/>
        <v>⚠️ EV/Sales แพงเกินกำไรตอนนี้</v>
      </c>
      <c r="EJ45" s="21" t="str">
        <f t="shared" si="232"/>
        <v>⚠️ EV/Sales แพงเกินกำไรตอนนี้</v>
      </c>
      <c r="EK45" s="21" t="str">
        <f t="shared" si="232"/>
        <v>⚠️ EV/Sales แพงเกินกำไรตอนนี้</v>
      </c>
      <c r="EL45" s="21" t="str">
        <f t="shared" si="232"/>
        <v>⚠️ EV/Sales แพงเกินกำไรตอนนี้</v>
      </c>
      <c r="EM45" s="21" t="str">
        <f t="shared" si="232"/>
        <v>⚠️ EV/Sales แพงเกินกำไรตอนนี้</v>
      </c>
      <c r="EN45" s="21" t="str">
        <f t="shared" si="232"/>
        <v>⚠️ EV/Sales แพงเกินกำไรตอนนี้</v>
      </c>
      <c r="EO45" s="45" t="str">
        <f t="shared" si="232"/>
        <v>⚠️ EV/Sales แพงเกินกำไรตอนนี้</v>
      </c>
      <c r="EZ45" s="42" t="str">
        <f t="shared" si="232"/>
        <v>⚠️ EV/Sales แพงเกินกำไรตอนนี้</v>
      </c>
      <c r="FA45" s="21" t="str">
        <f t="shared" si="232"/>
        <v>⚠️ EV/Sales แพงเกินกำไรตอนนี้</v>
      </c>
      <c r="FB45" s="21" t="str">
        <f t="shared" ref="FB45:HL45" si="233">IF(FB32 &lt;= FB33, "✅ EV/Sales ต่ำกว่าหรือเท่ากับ ATOM ÷ 2", "⚠️ EV/Sales แพงเกินกำไรตอนนี้")</f>
        <v>⚠️ EV/Sales แพงเกินกำไรตอนนี้</v>
      </c>
      <c r="FC45" s="21" t="str">
        <f t="shared" si="233"/>
        <v>⚠️ EV/Sales แพงเกินกำไรตอนนี้</v>
      </c>
      <c r="FD45" s="21" t="str">
        <f t="shared" si="233"/>
        <v>⚠️ EV/Sales แพงเกินกำไรตอนนี้</v>
      </c>
      <c r="FE45" s="21" t="str">
        <f t="shared" si="233"/>
        <v>⚠️ EV/Sales แพงเกินกำไรตอนนี้</v>
      </c>
      <c r="FF45" s="21" t="str">
        <f t="shared" si="233"/>
        <v>⚠️ EV/Sales แพงเกินกำไรตอนนี้</v>
      </c>
      <c r="FG45" s="21" t="str">
        <f t="shared" si="233"/>
        <v>⚠️ EV/Sales แพงเกินกำไรตอนนี้</v>
      </c>
      <c r="FH45" s="21" t="str">
        <f t="shared" si="233"/>
        <v>⚠️ EV/Sales แพงเกินกำไรตอนนี้</v>
      </c>
      <c r="FI45" s="21" t="str">
        <f t="shared" si="233"/>
        <v>⚠️ EV/Sales แพงเกินกำไรตอนนี้</v>
      </c>
      <c r="FJ45" s="21" t="str">
        <f t="shared" si="233"/>
        <v>⚠️ EV/Sales แพงเกินกำไรตอนนี้</v>
      </c>
      <c r="FK45" s="21" t="str">
        <f t="shared" si="233"/>
        <v>⚠️ EV/Sales แพงเกินกำไรตอนนี้</v>
      </c>
      <c r="FL45" s="21" t="str">
        <f t="shared" si="233"/>
        <v>⚠️ EV/Sales แพงเกินกำไรตอนนี้</v>
      </c>
      <c r="FM45" s="21" t="str">
        <f t="shared" si="233"/>
        <v>⚠️ EV/Sales แพงเกินกำไรตอนนี้</v>
      </c>
      <c r="FN45" s="21" t="str">
        <f t="shared" si="233"/>
        <v>⚠️ EV/Sales แพงเกินกำไรตอนนี้</v>
      </c>
      <c r="FO45" s="21" t="str">
        <f t="shared" si="233"/>
        <v>⚠️ EV/Sales แพงเกินกำไรตอนนี้</v>
      </c>
      <c r="FP45" s="21" t="str">
        <f t="shared" si="233"/>
        <v>⚠️ EV/Sales แพงเกินกำไรตอนนี้</v>
      </c>
      <c r="FQ45" s="21" t="str">
        <f t="shared" si="233"/>
        <v>⚠️ EV/Sales แพงเกินกำไรตอนนี้</v>
      </c>
      <c r="FR45" s="21" t="str">
        <f t="shared" si="233"/>
        <v>⚠️ EV/Sales แพงเกินกำไรตอนนี้</v>
      </c>
      <c r="FS45" s="21" t="str">
        <f t="shared" si="233"/>
        <v>⚠️ EV/Sales แพงเกินกำไรตอนนี้</v>
      </c>
      <c r="FT45" s="21" t="str">
        <f t="shared" si="233"/>
        <v>⚠️ EV/Sales แพงเกินกำไรตอนนี้</v>
      </c>
      <c r="FU45" s="21" t="str">
        <f t="shared" si="233"/>
        <v>⚠️ EV/Sales แพงเกินกำไรตอนนี้</v>
      </c>
      <c r="FV45" s="21" t="str">
        <f t="shared" si="233"/>
        <v>⚠️ EV/Sales แพงเกินกำไรตอนนี้</v>
      </c>
      <c r="FW45" s="21" t="str">
        <f t="shared" si="233"/>
        <v>⚠️ EV/Sales แพงเกินกำไรตอนนี้</v>
      </c>
      <c r="FX45" s="21" t="str">
        <f t="shared" si="233"/>
        <v>⚠️ EV/Sales แพงเกินกำไรตอนนี้</v>
      </c>
      <c r="FY45" s="21" t="str">
        <f t="shared" si="233"/>
        <v>⚠️ EV/Sales แพงเกินกำไรตอนนี้</v>
      </c>
      <c r="FZ45" s="21" t="str">
        <f t="shared" si="233"/>
        <v>⚠️ EV/Sales แพงเกินกำไรตอนนี้</v>
      </c>
      <c r="GA45" s="21" t="str">
        <f t="shared" si="233"/>
        <v>⚠️ EV/Sales แพงเกินกำไรตอนนี้</v>
      </c>
      <c r="GB45" s="21" t="str">
        <f t="shared" si="233"/>
        <v>⚠️ EV/Sales แพงเกินกำไรตอนนี้</v>
      </c>
      <c r="GC45" s="21" t="str">
        <f t="shared" si="233"/>
        <v>⚠️ EV/Sales แพงเกินกำไรตอนนี้</v>
      </c>
      <c r="GD45" s="21" t="str">
        <f t="shared" si="233"/>
        <v>⚠️ EV/Sales แพงเกินกำไรตอนนี้</v>
      </c>
      <c r="GE45" s="21" t="str">
        <f t="shared" si="233"/>
        <v>⚠️ EV/Sales แพงเกินกำไรตอนนี้</v>
      </c>
      <c r="GF45" s="21" t="str">
        <f t="shared" si="233"/>
        <v>⚠️ EV/Sales แพงเกินกำไรตอนนี้</v>
      </c>
      <c r="GG45" s="21" t="str">
        <f t="shared" si="233"/>
        <v>⚠️ EV/Sales แพงเกินกำไรตอนนี้</v>
      </c>
      <c r="GH45" s="21" t="str">
        <f t="shared" si="233"/>
        <v>⚠️ EV/Sales แพงเกินกำไรตอนนี้</v>
      </c>
      <c r="GI45" s="21" t="str">
        <f t="shared" si="233"/>
        <v>⚠️ EV/Sales แพงเกินกำไรตอนนี้</v>
      </c>
      <c r="GJ45" s="21" t="str">
        <f t="shared" si="233"/>
        <v>⚠️ EV/Sales แพงเกินกำไรตอนนี้</v>
      </c>
      <c r="GK45" s="21" t="str">
        <f t="shared" si="233"/>
        <v>⚠️ EV/Sales แพงเกินกำไรตอนนี้</v>
      </c>
      <c r="GL45" s="21" t="str">
        <f t="shared" si="233"/>
        <v>⚠️ EV/Sales แพงเกินกำไรตอนนี้</v>
      </c>
      <c r="GM45" s="21" t="str">
        <f t="shared" si="233"/>
        <v>⚠️ EV/Sales แพงเกินกำไรตอนนี้</v>
      </c>
      <c r="GN45" s="21" t="str">
        <f t="shared" si="233"/>
        <v>⚠️ EV/Sales แพงเกินกำไรตอนนี้</v>
      </c>
      <c r="GO45" s="21" t="str">
        <f t="shared" si="233"/>
        <v>⚠️ EV/Sales แพงเกินกำไรตอนนี้</v>
      </c>
      <c r="GP45" s="21" t="str">
        <f t="shared" si="233"/>
        <v>⚠️ EV/Sales แพงเกินกำไรตอนนี้</v>
      </c>
      <c r="GQ45" s="21" t="str">
        <f t="shared" si="233"/>
        <v>⚠️ EV/Sales แพงเกินกำไรตอนนี้</v>
      </c>
      <c r="GR45" s="21" t="str">
        <f t="shared" si="233"/>
        <v>⚠️ EV/Sales แพงเกินกำไรตอนนี้</v>
      </c>
      <c r="GS45" s="21" t="str">
        <f t="shared" si="233"/>
        <v>⚠️ EV/Sales แพงเกินกำไรตอนนี้</v>
      </c>
      <c r="GT45" s="21" t="str">
        <f t="shared" si="233"/>
        <v>⚠️ EV/Sales แพงเกินกำไรตอนนี้</v>
      </c>
      <c r="GU45" s="21" t="str">
        <f t="shared" si="233"/>
        <v>⚠️ EV/Sales แพงเกินกำไรตอนนี้</v>
      </c>
      <c r="GV45" s="21" t="str">
        <f t="shared" si="233"/>
        <v>⚠️ EV/Sales แพงเกินกำไรตอนนี้</v>
      </c>
      <c r="GW45" s="21" t="str">
        <f t="shared" si="233"/>
        <v>⚠️ EV/Sales แพงเกินกำไรตอนนี้</v>
      </c>
      <c r="GX45" s="21" t="str">
        <f t="shared" si="233"/>
        <v>⚠️ EV/Sales แพงเกินกำไรตอนนี้</v>
      </c>
      <c r="GY45" s="21" t="str">
        <f t="shared" si="233"/>
        <v>⚠️ EV/Sales แพงเกินกำไรตอนนี้</v>
      </c>
      <c r="GZ45" s="21" t="str">
        <f t="shared" si="233"/>
        <v>⚠️ EV/Sales แพงเกินกำไรตอนนี้</v>
      </c>
      <c r="HA45" s="21" t="str">
        <f t="shared" si="233"/>
        <v>⚠️ EV/Sales แพงเกินกำไรตอนนี้</v>
      </c>
      <c r="HB45" s="21" t="str">
        <f t="shared" si="233"/>
        <v>⚠️ EV/Sales แพงเกินกำไรตอนนี้</v>
      </c>
      <c r="HC45" s="21" t="str">
        <f t="shared" si="233"/>
        <v>⚠️ EV/Sales แพงเกินกำไรตอนนี้</v>
      </c>
      <c r="HD45" s="21" t="str">
        <f t="shared" si="233"/>
        <v>⚠️ EV/Sales แพงเกินกำไรตอนนี้</v>
      </c>
      <c r="HE45" s="21" t="str">
        <f t="shared" si="233"/>
        <v>⚠️ EV/Sales แพงเกินกำไรตอนนี้</v>
      </c>
      <c r="HF45" s="21" t="str">
        <f>IF(HF32 &lt;= HF33, "✅ EV/Sales ต่ำกว่าหรือเท่ากับ ATOM ÷ 2", "⚠️ EV/Sales แพงเกินกำไรตอนนี้")</f>
        <v>⚠️ EV/Sales แพงเกินกำไรตอนนี้</v>
      </c>
      <c r="HG45" s="21" t="str">
        <f t="shared" si="233"/>
        <v>⚠️ EV/Sales แพงเกินกำไรตอนนี้</v>
      </c>
      <c r="HH45" s="21" t="str">
        <f t="shared" si="233"/>
        <v>⚠️ EV/Sales แพงเกินกำไรตอนนี้</v>
      </c>
      <c r="HI45" s="21" t="str">
        <f t="shared" si="233"/>
        <v>⚠️ EV/Sales แพงเกินกำไรตอนนี้</v>
      </c>
      <c r="HJ45" s="21" t="str">
        <f t="shared" si="233"/>
        <v>⚠️ EV/Sales แพงเกินกำไรตอนนี้</v>
      </c>
      <c r="HK45" s="21" t="str">
        <f t="shared" si="233"/>
        <v>⚠️ EV/Sales แพงเกินกำไรตอนนี้</v>
      </c>
      <c r="HL45" s="21" t="str">
        <f t="shared" si="233"/>
        <v>⚠️ EV/Sales แพงเกินกำไรตอนนี้</v>
      </c>
      <c r="HM45" s="21" t="str">
        <f>IF(HM32 &lt;= HM33, "✅ EV/Sales ต่ำกว่าหรือเท่ากับ ATOM ÷ 2", "⚠️ EV/Sales แพงเกินกำไรตอนนี้")</f>
        <v>⚠️ EV/Sales แพงเกินกำไรตอนนี้</v>
      </c>
      <c r="HN45" s="21" t="str">
        <f t="shared" ref="HN45:HP45" si="234">IF(HN32 &lt;= HN33, "✅ EV/Sales ต่ำกว่าหรือเท่ากับ ATOM ÷ 2", "⚠️ EV/Sales แพงเกินกำไรตอนนี้")</f>
        <v>⚠️ EV/Sales แพงเกินกำไรตอนนี้</v>
      </c>
      <c r="HO45" s="21" t="str">
        <f t="shared" si="234"/>
        <v>⚠️ EV/Sales แพงเกินกำไรตอนนี้</v>
      </c>
      <c r="HP45" s="21" t="str">
        <f t="shared" si="234"/>
        <v>⚠️ EV/Sales แพงเกินกำไรตอนนี้</v>
      </c>
      <c r="HQ45" s="21" t="str">
        <f t="shared" ref="HQ45:HV45" si="235">IF(HQ32 &lt;= HQ33, "✅ EV/Sales ต่ำกว่าหรือเท่ากับ ATOM ÷ 2", "⚠️ EV/Sales แพงเกินกำไรตอนนี้")</f>
        <v>⚠️ EV/Sales แพงเกินกำไรตอนนี้</v>
      </c>
      <c r="HR45" s="21" t="str">
        <f t="shared" si="235"/>
        <v>⚠️ EV/Sales แพงเกินกำไรตอนนี้</v>
      </c>
      <c r="HS45" s="21" t="str">
        <f t="shared" si="235"/>
        <v>⚠️ EV/Sales แพงเกินกำไรตอนนี้</v>
      </c>
      <c r="HT45" s="21" t="str">
        <f t="shared" si="235"/>
        <v>⚠️ EV/Sales แพงเกินกำไรตอนนี้</v>
      </c>
      <c r="HU45" s="21" t="str">
        <f t="shared" si="235"/>
        <v>⚠️ EV/Sales แพงเกินกำไรตอนนี้</v>
      </c>
      <c r="HV45" s="21" t="str">
        <f t="shared" si="235"/>
        <v>⚠️ EV/Sales แพงเกินกำไรตอนนี้</v>
      </c>
      <c r="HW45" s="21" t="str">
        <f t="shared" ref="HW45:HX45" si="236">IF(HW32 &lt;= HW33, "✅ EV/Sales ต่ำกว่าหรือเท่ากับ ATOM ÷ 2", "⚠️ EV/Sales แพงเกินกำไรตอนนี้")</f>
        <v>⚠️ EV/Sales แพงเกินกำไรตอนนี้</v>
      </c>
      <c r="HX45" s="21" t="str">
        <f t="shared" ref="HX45:HY45" si="237">IF(HX32 &lt;= HX33, "✅ EV/Sales ต่ำกว่าหรือเท่ากับ ATOM ÷ 2", "⚠️ EV/Sales แพงเกินกำไรตอนนี้")</f>
        <v>⚠️ EV/Sales แพงเกินกำไรตอนนี้</v>
      </c>
      <c r="HY45" s="21" t="str">
        <f t="shared" si="237"/>
        <v>⚠️ EV/Sales แพงเกินกำไรตอนนี้</v>
      </c>
    </row>
    <row r="46" spans="1:233" ht="24" customHeight="1" x14ac:dyDescent="0.5">
      <c r="A46" s="51"/>
      <c r="B46" s="21" t="str">
        <f t="shared" ref="B46:C46" si="238">IF(B27&gt;20,"✅ โตเร็วระดับ Growth Stock",IF(B27&gt;=10,"⚡ โตดีระดับ Core Holding","⚠️ โตช้าเหมาะ Defensive"))</f>
        <v>⚠️ โตช้าเหมาะ Defensive</v>
      </c>
      <c r="C46" s="20" t="str">
        <f t="shared" si="238"/>
        <v>✅ โตเร็วระดับ Growth Stock</v>
      </c>
      <c r="D46" s="20" t="str">
        <f t="shared" ref="D46:AB46" si="239">IF(D27&gt;20,"✅ โตเร็วระดับ Growth Stock",IF(D27&gt;=10,"⚡ โตดีระดับ Core Holding","⚠️ โตช้าเหมาะ Defensive"))</f>
        <v>⚠️ โตช้าเหมาะ Defensive</v>
      </c>
      <c r="E46" s="20" t="str">
        <f t="shared" si="239"/>
        <v>⚠️ โตช้าเหมาะ Defensive</v>
      </c>
      <c r="F46" s="20" t="str">
        <f t="shared" si="239"/>
        <v>⚠️ โตช้าเหมาะ Defensive</v>
      </c>
      <c r="G46" s="20" t="str">
        <f t="shared" si="239"/>
        <v>⚠️ โตช้าเหมาะ Defensive</v>
      </c>
      <c r="H46" s="20" t="str">
        <f t="shared" si="239"/>
        <v>⚠️ โตช้าเหมาะ Defensive</v>
      </c>
      <c r="I46" s="20" t="str">
        <f t="shared" si="239"/>
        <v>⚡ โตดีระดับ Core Holding</v>
      </c>
      <c r="J46" s="20" t="str">
        <f t="shared" si="239"/>
        <v>⚡ โตดีระดับ Core Holding</v>
      </c>
      <c r="K46" s="20" t="str">
        <f t="shared" si="239"/>
        <v>⚡ โตดีระดับ Core Holding</v>
      </c>
      <c r="L46" s="20" t="str">
        <f t="shared" si="239"/>
        <v>✅ โตเร็วระดับ Growth Stock</v>
      </c>
      <c r="M46" s="20" t="str">
        <f t="shared" si="239"/>
        <v>✅ โตเร็วระดับ Growth Stock</v>
      </c>
      <c r="N46" s="20" t="str">
        <f t="shared" si="239"/>
        <v>⚡ โตดีระดับ Core Holding</v>
      </c>
      <c r="O46" s="20" t="str">
        <f t="shared" si="239"/>
        <v>⚡ โตดีระดับ Core Holding</v>
      </c>
      <c r="P46" s="20" t="str">
        <f t="shared" si="239"/>
        <v>✅ โตเร็วระดับ Growth Stock</v>
      </c>
      <c r="Q46" s="20" t="str">
        <f t="shared" si="239"/>
        <v>⚠️ โตช้าเหมาะ Defensive</v>
      </c>
      <c r="R46" s="20" t="str">
        <f t="shared" si="239"/>
        <v>⚠️ โตช้าเหมาะ Defensive</v>
      </c>
      <c r="S46" s="20" t="str">
        <f t="shared" si="239"/>
        <v>✅ โตเร็วระดับ Growth Stock</v>
      </c>
      <c r="T46" s="20" t="str">
        <f t="shared" si="239"/>
        <v>⚠️ โตช้าเหมาะ Defensive</v>
      </c>
      <c r="U46" s="20" t="str">
        <f t="shared" si="239"/>
        <v>✅ โตเร็วระดับ Growth Stock</v>
      </c>
      <c r="V46" s="20" t="str">
        <f t="shared" si="239"/>
        <v>⚡ โตดีระดับ Core Holding</v>
      </c>
      <c r="W46" s="20" t="str">
        <f t="shared" si="239"/>
        <v>⚡ โตดีระดับ Core Holding</v>
      </c>
      <c r="X46" s="20" t="str">
        <f t="shared" si="239"/>
        <v>⚡ โตดีระดับ Core Holding</v>
      </c>
      <c r="Y46" s="20" t="str">
        <f t="shared" si="239"/>
        <v>✅ โตเร็วระดับ Growth Stock</v>
      </c>
      <c r="Z46" s="20" t="str">
        <f t="shared" si="239"/>
        <v>✅ โตเร็วระดับ Growth Stock</v>
      </c>
      <c r="AA46" s="20" t="str">
        <f t="shared" si="239"/>
        <v>⚡ โตดีระดับ Core Holding</v>
      </c>
      <c r="AB46" s="20" t="str">
        <f t="shared" si="239"/>
        <v>✅ โตเร็วระดับ Growth Stock</v>
      </c>
      <c r="AC46" s="20" t="str">
        <f t="shared" ref="AC46:BE46" si="240">IF(AC27&gt;20,"✅ โตเร็วระดับ Growth Stock",IF(AC27&gt;=10,"⚡ โตดีระดับ Core Holding","⚠️ โตช้าเหมาะ Defensive"))</f>
        <v>⚠️ โตช้าเหมาะ Defensive</v>
      </c>
      <c r="AD46" s="20" t="str">
        <f t="shared" si="240"/>
        <v>⚠️ โตช้าเหมาะ Defensive</v>
      </c>
      <c r="AE46" s="20" t="str">
        <f t="shared" si="240"/>
        <v>⚡ โตดีระดับ Core Holding</v>
      </c>
      <c r="AF46" s="20" t="str">
        <f t="shared" si="240"/>
        <v>⚡ โตดีระดับ Core Holding</v>
      </c>
      <c r="AG46" s="20" t="str">
        <f t="shared" si="240"/>
        <v>✅ โตเร็วระดับ Growth Stock</v>
      </c>
      <c r="AH46" s="20" t="str">
        <f t="shared" si="240"/>
        <v>⚠️ โตช้าเหมาะ Defensive</v>
      </c>
      <c r="AI46" s="20" t="str">
        <f t="shared" si="240"/>
        <v>⚠️ โตช้าเหมาะ Defensive</v>
      </c>
      <c r="AJ46" s="20" t="str">
        <f t="shared" si="240"/>
        <v>⚠️ โตช้าเหมาะ Defensive</v>
      </c>
      <c r="AK46" s="20" t="str">
        <f t="shared" si="240"/>
        <v>✅ โตเร็วระดับ Growth Stock</v>
      </c>
      <c r="AL46" s="20" t="e">
        <f t="shared" si="240"/>
        <v>#DIV/0!</v>
      </c>
      <c r="AM46" s="20" t="str">
        <f t="shared" si="240"/>
        <v>⚠️ โตช้าเหมาะ Defensive</v>
      </c>
      <c r="AN46" s="20" t="str">
        <f t="shared" si="240"/>
        <v>⚠️ โตช้าเหมาะ Defensive</v>
      </c>
      <c r="AO46" s="20" t="str">
        <f t="shared" si="240"/>
        <v>⚠️ โตช้าเหมาะ Defensive</v>
      </c>
      <c r="AP46" s="20" t="str">
        <f t="shared" si="240"/>
        <v>⚠️ โตช้าเหมาะ Defensive</v>
      </c>
      <c r="AQ46" s="20" t="str">
        <f t="shared" si="240"/>
        <v>⚠️ โตช้าเหมาะ Defensive</v>
      </c>
      <c r="AR46" s="20" t="str">
        <f t="shared" si="240"/>
        <v>⚡ โตดีระดับ Core Holding</v>
      </c>
      <c r="AS46" s="20" t="str">
        <f t="shared" si="240"/>
        <v>⚠️ โตช้าเหมาะ Defensive</v>
      </c>
      <c r="AT46" s="20" t="str">
        <f t="shared" si="240"/>
        <v>⚠️ โตช้าเหมาะ Defensive</v>
      </c>
      <c r="AU46" s="20" t="str">
        <f t="shared" si="240"/>
        <v>⚡ โตดีระดับ Core Holding</v>
      </c>
      <c r="AV46" s="20" t="str">
        <f t="shared" si="240"/>
        <v>⚡ โตดีระดับ Core Holding</v>
      </c>
      <c r="AW46" s="20" t="e">
        <f t="shared" si="240"/>
        <v>#DIV/0!</v>
      </c>
      <c r="AX46" s="20" t="str">
        <f t="shared" si="240"/>
        <v>⚡ โตดีระดับ Core Holding</v>
      </c>
      <c r="AY46" s="20" t="str">
        <f t="shared" si="240"/>
        <v>⚡ โตดีระดับ Core Holding</v>
      </c>
      <c r="AZ46" s="20" t="e">
        <f t="shared" si="240"/>
        <v>#DIV/0!</v>
      </c>
      <c r="BA46" s="20" t="str">
        <f t="shared" si="240"/>
        <v>⚡ โตดีระดับ Core Holding</v>
      </c>
      <c r="BB46" s="20" t="str">
        <f t="shared" si="240"/>
        <v>⚡ โตดีระดับ Core Holding</v>
      </c>
      <c r="BC46" s="20" t="str">
        <f t="shared" si="240"/>
        <v>⚠️ โตช้าเหมาะ Defensive</v>
      </c>
      <c r="BD46" s="20" t="str">
        <f t="shared" si="240"/>
        <v>⚠️ โตช้าเหมาะ Defensive</v>
      </c>
      <c r="BE46" s="30" t="str">
        <f t="shared" si="240"/>
        <v>⚡ โตดีระดับ Core Holding</v>
      </c>
      <c r="BF46" s="30" t="str">
        <f t="shared" ref="BF46:BK46" si="241">IF(BF27&gt;20,"✅ โตเร็วระดับ Growth Stock",IF(BF27&gt;=10,"⚡ โตดีระดับ Core Holding","⚠️ โตช้าเหมาะ Defensive"))</f>
        <v>⚡ โตดีระดับ Core Holding</v>
      </c>
      <c r="BG46" s="30" t="e">
        <f t="shared" si="241"/>
        <v>#DIV/0!</v>
      </c>
      <c r="BH46" s="30" t="str">
        <f t="shared" si="241"/>
        <v>✅ โตเร็วระดับ Growth Stock</v>
      </c>
      <c r="BI46" s="30" t="str">
        <f t="shared" si="241"/>
        <v>⚡ โตดีระดับ Core Holding</v>
      </c>
      <c r="BJ46" s="30" t="str">
        <f t="shared" si="241"/>
        <v>⚠️ โตช้าเหมาะ Defensive</v>
      </c>
      <c r="BK46" s="20" t="str">
        <f t="shared" si="241"/>
        <v>✅ โตเร็วระดับ Growth Stock</v>
      </c>
      <c r="BL46" s="20" t="str">
        <f t="shared" ref="BL46:DW46" si="242">IF(BL27&gt;20,"✅ โตเร็วระดับ Growth Stock",IF(BL27&gt;=10,"⚡ โตดีระดับ Core Holding","⚠️ โตช้าเหมาะ Defensive"))</f>
        <v>✅ โตเร็วระดับ Growth Stock</v>
      </c>
      <c r="BM46" s="20" t="str">
        <f t="shared" si="242"/>
        <v>⚡ โตดีระดับ Core Holding</v>
      </c>
      <c r="BN46" s="20" t="str">
        <f t="shared" si="242"/>
        <v>⚠️ โตช้าเหมาะ Defensive</v>
      </c>
      <c r="BO46" s="20" t="str">
        <f t="shared" si="242"/>
        <v>⚠️ โตช้าเหมาะ Defensive</v>
      </c>
      <c r="BP46" s="20" t="str">
        <f t="shared" si="242"/>
        <v>⚠️ โตช้าเหมาะ Defensive</v>
      </c>
      <c r="BQ46" s="20" t="e">
        <f t="shared" si="242"/>
        <v>#DIV/0!</v>
      </c>
      <c r="BR46" s="20" t="e">
        <f t="shared" si="242"/>
        <v>#DIV/0!</v>
      </c>
      <c r="BS46" s="20" t="str">
        <f t="shared" si="242"/>
        <v>✅ โตเร็วระดับ Growth Stock</v>
      </c>
      <c r="BT46" s="20" t="str">
        <f t="shared" si="242"/>
        <v>⚡ โตดีระดับ Core Holding</v>
      </c>
      <c r="BU46" s="20" t="str">
        <f t="shared" si="242"/>
        <v>⚠️ โตช้าเหมาะ Defensive</v>
      </c>
      <c r="BV46" s="20" t="str">
        <f t="shared" si="242"/>
        <v>✅ โตเร็วระดับ Growth Stock</v>
      </c>
      <c r="BW46" s="20" t="str">
        <f t="shared" si="242"/>
        <v>⚡ โตดีระดับ Core Holding</v>
      </c>
      <c r="BX46" s="20" t="str">
        <f t="shared" si="242"/>
        <v>✅ โตเร็วระดับ Growth Stock</v>
      </c>
      <c r="BY46" s="20" t="str">
        <f t="shared" si="242"/>
        <v>⚠️ โตช้าเหมาะ Defensive</v>
      </c>
      <c r="BZ46" s="20" t="str">
        <f t="shared" si="242"/>
        <v>⚠️ โตช้าเหมาะ Defensive</v>
      </c>
      <c r="CA46" s="20" t="str">
        <f t="shared" si="242"/>
        <v>⚠️ โตช้าเหมาะ Defensive</v>
      </c>
      <c r="CB46" s="20" t="str">
        <f t="shared" si="242"/>
        <v>✅ โตเร็วระดับ Growth Stock</v>
      </c>
      <c r="CC46" s="20" t="str">
        <f t="shared" si="242"/>
        <v>✅ โตเร็วระดับ Growth Stock</v>
      </c>
      <c r="CD46" s="20" t="str">
        <f t="shared" si="242"/>
        <v>✅ โตเร็วระดับ Growth Stock</v>
      </c>
      <c r="CE46" s="20" t="e">
        <f t="shared" si="242"/>
        <v>#DIV/0!</v>
      </c>
      <c r="CF46" s="20" t="str">
        <f t="shared" si="242"/>
        <v>⚠️ โตช้าเหมาะ Defensive</v>
      </c>
      <c r="CG46" s="20" t="str">
        <f t="shared" si="242"/>
        <v>⚠️ โตช้าเหมาะ Defensive</v>
      </c>
      <c r="CH46" s="20" t="e">
        <f t="shared" si="242"/>
        <v>#DIV/0!</v>
      </c>
      <c r="CI46" s="20" t="str">
        <f t="shared" si="242"/>
        <v>⚠️ โตช้าเหมาะ Defensive</v>
      </c>
      <c r="CJ46" s="20" t="str">
        <f t="shared" si="242"/>
        <v>⚡ โตดีระดับ Core Holding</v>
      </c>
      <c r="CK46" s="20" t="str">
        <f t="shared" si="242"/>
        <v>✅ โตเร็วระดับ Growth Stock</v>
      </c>
      <c r="CL46" s="20" t="e">
        <f t="shared" si="242"/>
        <v>#DIV/0!</v>
      </c>
      <c r="CM46" s="20" t="str">
        <f t="shared" si="242"/>
        <v>⚡ โตดีระดับ Core Holding</v>
      </c>
      <c r="CN46" s="20" t="str">
        <f t="shared" si="242"/>
        <v>✅ โตเร็วระดับ Growth Stock</v>
      </c>
      <c r="CO46" s="20" t="str">
        <f t="shared" si="242"/>
        <v>⚠️ โตช้าเหมาะ Defensive</v>
      </c>
      <c r="CP46" s="20" t="str">
        <f t="shared" si="242"/>
        <v>⚠️ โตช้าเหมาะ Defensive</v>
      </c>
      <c r="CQ46" s="20" t="str">
        <f t="shared" si="242"/>
        <v>⚠️ โตช้าเหมาะ Defensive</v>
      </c>
      <c r="CR46" s="20" t="e">
        <f t="shared" si="242"/>
        <v>#DIV/0!</v>
      </c>
      <c r="CS46" s="20" t="str">
        <f t="shared" si="242"/>
        <v>✅ โตเร็วระดับ Growth Stock</v>
      </c>
      <c r="CT46" s="20" t="str">
        <f t="shared" si="242"/>
        <v>⚠️ โตช้าเหมาะ Defensive</v>
      </c>
      <c r="CU46" s="20" t="str">
        <f t="shared" si="242"/>
        <v>⚠️ โตช้าเหมาะ Defensive</v>
      </c>
      <c r="CV46" s="20" t="str">
        <f t="shared" si="242"/>
        <v>⚡ โตดีระดับ Core Holding</v>
      </c>
      <c r="CW46" s="20" t="str">
        <f t="shared" si="242"/>
        <v>⚡ โตดีระดับ Core Holding</v>
      </c>
      <c r="CX46" s="20" t="str">
        <f t="shared" si="242"/>
        <v>⚠️ โตช้าเหมาะ Defensive</v>
      </c>
      <c r="CY46" s="20" t="str">
        <f t="shared" si="242"/>
        <v>⚡ โตดีระดับ Core Holding</v>
      </c>
      <c r="CZ46" s="20" t="str">
        <f t="shared" si="242"/>
        <v>✅ โตเร็วระดับ Growth Stock</v>
      </c>
      <c r="DA46" s="20" t="str">
        <f t="shared" si="242"/>
        <v>⚡ โตดีระดับ Core Holding</v>
      </c>
      <c r="DB46" s="20" t="str">
        <f t="shared" si="242"/>
        <v>⚡ โตดีระดับ Core Holding</v>
      </c>
      <c r="DC46" s="20" t="e">
        <f t="shared" si="242"/>
        <v>#DIV/0!</v>
      </c>
      <c r="DD46" s="20" t="str">
        <f t="shared" si="242"/>
        <v>✅ โตเร็วระดับ Growth Stock</v>
      </c>
      <c r="DE46" s="20" t="str">
        <f t="shared" si="242"/>
        <v>✅ โตเร็วระดับ Growth Stock</v>
      </c>
      <c r="DF46" s="20" t="e">
        <f t="shared" si="242"/>
        <v>#DIV/0!</v>
      </c>
      <c r="DG46" s="20" t="str">
        <f t="shared" si="242"/>
        <v>✅ โตเร็วระดับ Growth Stock</v>
      </c>
      <c r="DH46" s="20" t="str">
        <f t="shared" si="242"/>
        <v>⚠️ โตช้าเหมาะ Defensive</v>
      </c>
      <c r="DI46" s="20" t="str">
        <f t="shared" si="242"/>
        <v>✅ โตเร็วระดับ Growth Stock</v>
      </c>
      <c r="DJ46" s="20" t="str">
        <f t="shared" si="242"/>
        <v>⚠️ โตช้าเหมาะ Defensive</v>
      </c>
      <c r="DK46" s="20" t="str">
        <f t="shared" si="242"/>
        <v>✅ โตเร็วระดับ Growth Stock</v>
      </c>
      <c r="DL46" s="20" t="str">
        <f t="shared" si="242"/>
        <v>⚠️ โตช้าเหมาะ Defensive</v>
      </c>
      <c r="DM46" s="20" t="str">
        <f t="shared" si="242"/>
        <v>⚡ โตดีระดับ Core Holding</v>
      </c>
      <c r="DN46" s="20" t="str">
        <f t="shared" si="242"/>
        <v>⚠️ โตช้าเหมาะ Defensive</v>
      </c>
      <c r="DO46" s="20" t="str">
        <f t="shared" si="242"/>
        <v>⚠️ โตช้าเหมาะ Defensive</v>
      </c>
      <c r="DP46" s="20" t="str">
        <f t="shared" si="242"/>
        <v>⚠️ โตช้าเหมาะ Defensive</v>
      </c>
      <c r="DQ46" s="20" t="e">
        <f t="shared" si="242"/>
        <v>#DIV/0!</v>
      </c>
      <c r="DR46" s="20" t="str">
        <f t="shared" si="242"/>
        <v>⚡ โตดีระดับ Core Holding</v>
      </c>
      <c r="DS46" s="20" t="str">
        <f t="shared" si="242"/>
        <v>⚡ โตดีระดับ Core Holding</v>
      </c>
      <c r="DT46" s="20" t="str">
        <f t="shared" si="242"/>
        <v>✅ โตเร็วระดับ Growth Stock</v>
      </c>
      <c r="DU46" s="20" t="str">
        <f t="shared" si="242"/>
        <v>⚠️ โตช้าเหมาะ Defensive</v>
      </c>
      <c r="DV46" s="20" t="str">
        <f t="shared" si="242"/>
        <v>⚠️ โตช้าเหมาะ Defensive</v>
      </c>
      <c r="DW46" s="20" t="e">
        <f t="shared" si="242"/>
        <v>#DIV/0!</v>
      </c>
      <c r="DX46" s="20" t="str">
        <f t="shared" ref="DX46:FA46" si="243">IF(DX27&gt;20,"✅ โตเร็วระดับ Growth Stock",IF(DX27&gt;=10,"⚡ โตดีระดับ Core Holding","⚠️ โตช้าเหมาะ Defensive"))</f>
        <v>⚠️ โตช้าเหมาะ Defensive</v>
      </c>
      <c r="DY46" s="20" t="str">
        <f t="shared" si="243"/>
        <v>✅ โตเร็วระดับ Growth Stock</v>
      </c>
      <c r="DZ46" s="20" t="str">
        <f t="shared" si="243"/>
        <v>⚠️ โตช้าเหมาะ Defensive</v>
      </c>
      <c r="EA46" s="20" t="str">
        <f t="shared" si="243"/>
        <v>⚠️ โตช้าเหมาะ Defensive</v>
      </c>
      <c r="EB46" s="20" t="str">
        <f t="shared" si="243"/>
        <v>⚠️ โตช้าเหมาะ Defensive</v>
      </c>
      <c r="EC46" s="20" t="str">
        <f t="shared" si="243"/>
        <v>⚠️ โตช้าเหมาะ Defensive</v>
      </c>
      <c r="ED46" s="20" t="str">
        <f t="shared" si="243"/>
        <v>⚡ โตดีระดับ Core Holding</v>
      </c>
      <c r="EE46" s="20" t="str">
        <f t="shared" si="243"/>
        <v>⚠️ โตช้าเหมาะ Defensive</v>
      </c>
      <c r="EF46" s="20" t="str">
        <f t="shared" si="243"/>
        <v>✅ โตเร็วระดับ Growth Stock</v>
      </c>
      <c r="EG46" s="20" t="str">
        <f t="shared" si="243"/>
        <v>⚡ โตดีระดับ Core Holding</v>
      </c>
      <c r="EH46" s="20" t="str">
        <f t="shared" si="243"/>
        <v>✅ โตเร็วระดับ Growth Stock</v>
      </c>
      <c r="EI46" s="20" t="e">
        <f t="shared" si="243"/>
        <v>#DIV/0!</v>
      </c>
      <c r="EJ46" s="20" t="str">
        <f t="shared" si="243"/>
        <v>⚡ โตดีระดับ Core Holding</v>
      </c>
      <c r="EK46" s="20" t="e">
        <f t="shared" si="243"/>
        <v>#DIV/0!</v>
      </c>
      <c r="EL46" s="20" t="str">
        <f t="shared" si="243"/>
        <v>⚠️ โตช้าเหมาะ Defensive</v>
      </c>
      <c r="EM46" s="20" t="str">
        <f t="shared" si="243"/>
        <v>⚠️ โตช้าเหมาะ Defensive</v>
      </c>
      <c r="EN46" s="20" t="e">
        <f t="shared" si="243"/>
        <v>#DIV/0!</v>
      </c>
      <c r="EO46" s="46" t="str">
        <f t="shared" si="243"/>
        <v>⚠️ โตช้าเหมาะ Defensive</v>
      </c>
      <c r="EZ46" s="43" t="str">
        <f t="shared" si="243"/>
        <v>✅ โตเร็วระดับ Growth Stock</v>
      </c>
      <c r="FA46" s="20" t="str">
        <f t="shared" si="243"/>
        <v>✅ โตเร็วระดับ Growth Stock</v>
      </c>
      <c r="FB46" s="20" t="str">
        <f t="shared" ref="FB46:HM46" si="244">IF(FB27&gt;20,"✅ โตเร็วระดับ Growth Stock",IF(FB27&gt;=10,"⚡ โตดีระดับ Core Holding","⚠️ โตช้าเหมาะ Defensive"))</f>
        <v>✅ โตเร็วระดับ Growth Stock</v>
      </c>
      <c r="FC46" s="20" t="str">
        <f t="shared" si="244"/>
        <v>✅ โตเร็วระดับ Growth Stock</v>
      </c>
      <c r="FD46" s="20" t="str">
        <f t="shared" si="244"/>
        <v>✅ โตเร็วระดับ Growth Stock</v>
      </c>
      <c r="FE46" s="20" t="str">
        <f t="shared" si="244"/>
        <v>✅ โตเร็วระดับ Growth Stock</v>
      </c>
      <c r="FF46" s="20" t="str">
        <f t="shared" si="244"/>
        <v>✅ โตเร็วระดับ Growth Stock</v>
      </c>
      <c r="FG46" s="20" t="str">
        <f t="shared" si="244"/>
        <v>✅ โตเร็วระดับ Growth Stock</v>
      </c>
      <c r="FH46" s="20" t="str">
        <f t="shared" si="244"/>
        <v>✅ โตเร็วระดับ Growth Stock</v>
      </c>
      <c r="FI46" s="20" t="str">
        <f t="shared" si="244"/>
        <v>✅ โตเร็วระดับ Growth Stock</v>
      </c>
      <c r="FJ46" s="20" t="str">
        <f t="shared" si="244"/>
        <v>✅ โตเร็วระดับ Growth Stock</v>
      </c>
      <c r="FK46" s="20" t="str">
        <f t="shared" si="244"/>
        <v>✅ โตเร็วระดับ Growth Stock</v>
      </c>
      <c r="FL46" s="20" t="str">
        <f t="shared" si="244"/>
        <v>✅ โตเร็วระดับ Growth Stock</v>
      </c>
      <c r="FM46" s="20" t="str">
        <f t="shared" si="244"/>
        <v>✅ โตเร็วระดับ Growth Stock</v>
      </c>
      <c r="FN46" s="20" t="str">
        <f t="shared" si="244"/>
        <v>✅ โตเร็วระดับ Growth Stock</v>
      </c>
      <c r="FO46" s="20" t="str">
        <f t="shared" si="244"/>
        <v>✅ โตเร็วระดับ Growth Stock</v>
      </c>
      <c r="FP46" s="20" t="str">
        <f t="shared" si="244"/>
        <v>✅ โตเร็วระดับ Growth Stock</v>
      </c>
      <c r="FQ46" s="20" t="str">
        <f t="shared" si="244"/>
        <v>✅ โตเร็วระดับ Growth Stock</v>
      </c>
      <c r="FR46" s="20" t="str">
        <f t="shared" si="244"/>
        <v>✅ โตเร็วระดับ Growth Stock</v>
      </c>
      <c r="FS46" s="20" t="str">
        <f t="shared" si="244"/>
        <v>✅ โตเร็วระดับ Growth Stock</v>
      </c>
      <c r="FT46" s="20" t="str">
        <f t="shared" si="244"/>
        <v>✅ โตเร็วระดับ Growth Stock</v>
      </c>
      <c r="FU46" s="20" t="str">
        <f t="shared" si="244"/>
        <v>✅ โตเร็วระดับ Growth Stock</v>
      </c>
      <c r="FV46" s="20" t="str">
        <f t="shared" si="244"/>
        <v>✅ โตเร็วระดับ Growth Stock</v>
      </c>
      <c r="FW46" s="20" t="str">
        <f t="shared" si="244"/>
        <v>✅ โตเร็วระดับ Growth Stock</v>
      </c>
      <c r="FX46" s="20" t="str">
        <f t="shared" si="244"/>
        <v>✅ โตเร็วระดับ Growth Stock</v>
      </c>
      <c r="FY46" s="20" t="str">
        <f t="shared" si="244"/>
        <v>✅ โตเร็วระดับ Growth Stock</v>
      </c>
      <c r="FZ46" s="20" t="str">
        <f t="shared" si="244"/>
        <v>✅ โตเร็วระดับ Growth Stock</v>
      </c>
      <c r="GA46" s="20" t="str">
        <f t="shared" si="244"/>
        <v>✅ โตเร็วระดับ Growth Stock</v>
      </c>
      <c r="GB46" s="20" t="str">
        <f t="shared" si="244"/>
        <v>✅ โตเร็วระดับ Growth Stock</v>
      </c>
      <c r="GC46" s="20" t="str">
        <f t="shared" si="244"/>
        <v>✅ โตเร็วระดับ Growth Stock</v>
      </c>
      <c r="GD46" s="20" t="str">
        <f t="shared" si="244"/>
        <v>✅ โตเร็วระดับ Growth Stock</v>
      </c>
      <c r="GE46" s="20" t="str">
        <f t="shared" si="244"/>
        <v>✅ โตเร็วระดับ Growth Stock</v>
      </c>
      <c r="GF46" s="20" t="str">
        <f t="shared" si="244"/>
        <v>✅ โตเร็วระดับ Growth Stock</v>
      </c>
      <c r="GG46" s="20" t="str">
        <f t="shared" si="244"/>
        <v>✅ โตเร็วระดับ Growth Stock</v>
      </c>
      <c r="GH46" s="20" t="str">
        <f t="shared" si="244"/>
        <v>✅ โตเร็วระดับ Growth Stock</v>
      </c>
      <c r="GI46" s="20" t="str">
        <f t="shared" si="244"/>
        <v>✅ โตเร็วระดับ Growth Stock</v>
      </c>
      <c r="GJ46" s="20" t="str">
        <f t="shared" si="244"/>
        <v>✅ โตเร็วระดับ Growth Stock</v>
      </c>
      <c r="GK46" s="20" t="str">
        <f t="shared" si="244"/>
        <v>✅ โตเร็วระดับ Growth Stock</v>
      </c>
      <c r="GL46" s="20" t="str">
        <f t="shared" si="244"/>
        <v>✅ โตเร็วระดับ Growth Stock</v>
      </c>
      <c r="GM46" s="20" t="str">
        <f t="shared" si="244"/>
        <v>✅ โตเร็วระดับ Growth Stock</v>
      </c>
      <c r="GN46" s="20" t="str">
        <f t="shared" si="244"/>
        <v>✅ โตเร็วระดับ Growth Stock</v>
      </c>
      <c r="GO46" s="20" t="str">
        <f t="shared" si="244"/>
        <v>✅ โตเร็วระดับ Growth Stock</v>
      </c>
      <c r="GP46" s="20" t="str">
        <f t="shared" si="244"/>
        <v>✅ โตเร็วระดับ Growth Stock</v>
      </c>
      <c r="GQ46" s="20" t="str">
        <f t="shared" si="244"/>
        <v>✅ โตเร็วระดับ Growth Stock</v>
      </c>
      <c r="GR46" s="20" t="str">
        <f t="shared" si="244"/>
        <v>✅ โตเร็วระดับ Growth Stock</v>
      </c>
      <c r="GS46" s="20" t="str">
        <f t="shared" si="244"/>
        <v>✅ โตเร็วระดับ Growth Stock</v>
      </c>
      <c r="GT46" s="20" t="e">
        <f t="shared" si="244"/>
        <v>#DIV/0!</v>
      </c>
      <c r="GU46" s="20" t="e">
        <f t="shared" si="244"/>
        <v>#DIV/0!</v>
      </c>
      <c r="GV46" s="20" t="e">
        <f t="shared" si="244"/>
        <v>#DIV/0!</v>
      </c>
      <c r="GW46" s="20" t="e">
        <f t="shared" si="244"/>
        <v>#DIV/0!</v>
      </c>
      <c r="GX46" s="20" t="e">
        <f t="shared" si="244"/>
        <v>#DIV/0!</v>
      </c>
      <c r="GY46" s="20" t="e">
        <f t="shared" si="244"/>
        <v>#DIV/0!</v>
      </c>
      <c r="GZ46" s="20" t="e">
        <f t="shared" si="244"/>
        <v>#DIV/0!</v>
      </c>
      <c r="HA46" s="20" t="e">
        <f t="shared" si="244"/>
        <v>#DIV/0!</v>
      </c>
      <c r="HB46" s="20" t="str">
        <f t="shared" si="244"/>
        <v>✅ โตเร็วระดับ Growth Stock</v>
      </c>
      <c r="HC46" s="20" t="str">
        <f t="shared" si="244"/>
        <v>⚡ โตดีระดับ Core Holding</v>
      </c>
      <c r="HD46" s="20" t="str">
        <f t="shared" si="244"/>
        <v>✅ โตเร็วระดับ Growth Stock</v>
      </c>
      <c r="HE46" s="20" t="str">
        <f t="shared" si="244"/>
        <v>⚠️ โตช้าเหมาะ Defensive</v>
      </c>
      <c r="HF46" s="20" t="str">
        <f t="shared" si="244"/>
        <v>✅ โตเร็วระดับ Growth Stock</v>
      </c>
      <c r="HG46" s="20" t="str">
        <f t="shared" si="244"/>
        <v>⚠️ โตช้าเหมาะ Defensive</v>
      </c>
      <c r="HH46" s="20" t="str">
        <f t="shared" si="244"/>
        <v>⚡ โตดีระดับ Core Holding</v>
      </c>
      <c r="HI46" s="20" t="str">
        <f t="shared" si="244"/>
        <v>✅ โตเร็วระดับ Growth Stock</v>
      </c>
      <c r="HJ46" s="30" t="e">
        <f t="shared" si="244"/>
        <v>#DIV/0!</v>
      </c>
      <c r="HK46" s="30" t="str">
        <f t="shared" si="244"/>
        <v>⚡ โตดีระดับ Core Holding</v>
      </c>
      <c r="HL46" s="30" t="str">
        <f t="shared" si="244"/>
        <v>✅ โตเร็วระดับ Growth Stock</v>
      </c>
      <c r="HM46" s="30" t="str">
        <f t="shared" si="244"/>
        <v>✅ โตเร็วระดับ Growth Stock</v>
      </c>
      <c r="HN46" s="30" t="str">
        <f t="shared" ref="HN46:HP46" si="245">IF(HN27&gt;20,"✅ โตเร็วระดับ Growth Stock",IF(HN27&gt;=10,"⚡ โตดีระดับ Core Holding","⚠️ โตช้าเหมาะ Defensive"))</f>
        <v>⚡ โตดีระดับ Core Holding</v>
      </c>
      <c r="HO46" s="30" t="str">
        <f t="shared" si="245"/>
        <v>⚡ โตดีระดับ Core Holding</v>
      </c>
      <c r="HP46" s="20" t="str">
        <f t="shared" si="245"/>
        <v>✅ โตเร็วระดับ Growth Stock</v>
      </c>
      <c r="HQ46" s="30" t="str">
        <f t="shared" ref="HQ46:HV46" si="246">IF(HQ27&gt;20,"✅ โตเร็วระดับ Growth Stock",IF(HQ27&gt;=10,"⚡ โตดีระดับ Core Holding","⚠️ โตช้าเหมาะ Defensive"))</f>
        <v>⚡ โตดีระดับ Core Holding</v>
      </c>
      <c r="HR46" s="30" t="str">
        <f t="shared" si="246"/>
        <v>✅ โตเร็วระดับ Growth Stock</v>
      </c>
      <c r="HS46" s="30" t="str">
        <f t="shared" si="246"/>
        <v>✅ โตเร็วระดับ Growth Stock</v>
      </c>
      <c r="HT46" s="30" t="str">
        <f t="shared" si="246"/>
        <v>⚡ โตดีระดับ Core Holding</v>
      </c>
      <c r="HU46" s="30" t="str">
        <f t="shared" si="246"/>
        <v>✅ โตเร็วระดับ Growth Stock</v>
      </c>
      <c r="HV46" s="30" t="str">
        <f t="shared" si="246"/>
        <v>✅ โตเร็วระดับ Growth Stock</v>
      </c>
      <c r="HW46" s="20" t="str">
        <f t="shared" ref="HW46:HX46" si="247">IF(HW27&gt;20,"✅ โตเร็วระดับ Growth Stock",IF(HW27&gt;=10,"⚡ โตดีระดับ Core Holding","⚠️ โตช้าเหมาะ Defensive"))</f>
        <v>✅ โตเร็วระดับ Growth Stock</v>
      </c>
      <c r="HX46" s="20" t="str">
        <f t="shared" ref="HX46:HY46" si="248">IF(HX27&gt;20,"✅ โตเร็วระดับ Growth Stock",IF(HX27&gt;=10,"⚡ โตดีระดับ Core Holding","⚠️ โตช้าเหมาะ Defensive"))</f>
        <v>✅ โตเร็วระดับ Growth Stock</v>
      </c>
      <c r="HY46" s="20" t="str">
        <f t="shared" si="248"/>
        <v>⚡ โตดีระดับ Core Holding</v>
      </c>
    </row>
    <row r="47" spans="1:233" ht="24" customHeight="1" x14ac:dyDescent="0.5">
      <c r="A47" s="51"/>
      <c r="B47" s="22" t="str">
        <f t="shared" ref="B47:C47" si="249">IF(B28&gt;60%, "✅ Margin สูง แข่งขันได้ด้วย Brand/Technology",
 IF(B28&gt;40%, "⚠️ Margin ปานกลาง ต้องดู Efficiency เพิ่ม",
 "❌ Margin ต่ำ ต้องใช้ Volume หรือ Scale เล่น"))</f>
        <v>❌ Margin ต่ำ ต้องใช้ Volume หรือ Scale เล่น</v>
      </c>
      <c r="C47" s="30" t="str">
        <f t="shared" si="249"/>
        <v>✅ Margin สูง แข่งขันได้ด้วย Brand/Technology</v>
      </c>
      <c r="D47" s="30" t="str">
        <f t="shared" ref="D47:AB47" si="250">IF(D28&gt;60%, "✅ Margin สูง แข่งขันได้ด้วย Brand/Technology",
 IF(D28&gt;40%, "⚠️ Margin ปานกลาง ต้องดู Efficiency เพิ่ม",
 "❌ Margin ต่ำ ต้องใช้ Volume หรือ Scale เล่น"))</f>
        <v>✅ Margin สูง แข่งขันได้ด้วย Brand/Technology</v>
      </c>
      <c r="E47" s="30" t="str">
        <f t="shared" si="250"/>
        <v>✅ Margin สูง แข่งขันได้ด้วย Brand/Technology</v>
      </c>
      <c r="F47" s="30" t="str">
        <f t="shared" si="250"/>
        <v>✅ Margin สูง แข่งขันได้ด้วย Brand/Technology</v>
      </c>
      <c r="G47" s="30" t="str">
        <f t="shared" si="250"/>
        <v>✅ Margin สูง แข่งขันได้ด้วย Brand/Technology</v>
      </c>
      <c r="H47" s="30" t="str">
        <f t="shared" si="250"/>
        <v>✅ Margin สูง แข่งขันได้ด้วย Brand/Technology</v>
      </c>
      <c r="I47" s="30" t="str">
        <f t="shared" si="250"/>
        <v>✅ Margin สูง แข่งขันได้ด้วย Brand/Technology</v>
      </c>
      <c r="J47" s="30" t="str">
        <f t="shared" si="250"/>
        <v>✅ Margin สูง แข่งขันได้ด้วย Brand/Technology</v>
      </c>
      <c r="K47" s="30" t="str">
        <f t="shared" si="250"/>
        <v>✅ Margin สูง แข่งขันได้ด้วย Brand/Technology</v>
      </c>
      <c r="L47" s="30" t="str">
        <f t="shared" si="250"/>
        <v>✅ Margin สูง แข่งขันได้ด้วย Brand/Technology</v>
      </c>
      <c r="M47" s="30" t="str">
        <f t="shared" si="250"/>
        <v>✅ Margin สูง แข่งขันได้ด้วย Brand/Technology</v>
      </c>
      <c r="N47" s="30" t="str">
        <f t="shared" si="250"/>
        <v>✅ Margin สูง แข่งขันได้ด้วย Brand/Technology</v>
      </c>
      <c r="O47" s="30" t="str">
        <f t="shared" si="250"/>
        <v>✅ Margin สูง แข่งขันได้ด้วย Brand/Technology</v>
      </c>
      <c r="P47" s="30" t="str">
        <f t="shared" si="250"/>
        <v>✅ Margin สูง แข่งขันได้ด้วย Brand/Technology</v>
      </c>
      <c r="Q47" s="30" t="str">
        <f t="shared" si="250"/>
        <v>✅ Margin สูง แข่งขันได้ด้วย Brand/Technology</v>
      </c>
      <c r="R47" s="30" t="str">
        <f t="shared" si="250"/>
        <v>❌ Margin ต่ำ ต้องใช้ Volume หรือ Scale เล่น</v>
      </c>
      <c r="S47" s="30" t="str">
        <f t="shared" si="250"/>
        <v>✅ Margin สูง แข่งขันได้ด้วย Brand/Technology</v>
      </c>
      <c r="T47" s="30" t="str">
        <f t="shared" si="250"/>
        <v>✅ Margin สูง แข่งขันได้ด้วย Brand/Technology</v>
      </c>
      <c r="U47" s="30" t="str">
        <f t="shared" si="250"/>
        <v>✅ Margin สูง แข่งขันได้ด้วย Brand/Technology</v>
      </c>
      <c r="V47" s="30" t="str">
        <f t="shared" si="250"/>
        <v>✅ Margin สูง แข่งขันได้ด้วย Brand/Technology</v>
      </c>
      <c r="W47" s="30" t="str">
        <f t="shared" si="250"/>
        <v>✅ Margin สูง แข่งขันได้ด้วย Brand/Technology</v>
      </c>
      <c r="X47" s="30" t="str">
        <f t="shared" si="250"/>
        <v>✅ Margin สูง แข่งขันได้ด้วย Brand/Technology</v>
      </c>
      <c r="Y47" s="30" t="str">
        <f t="shared" si="250"/>
        <v>✅ Margin สูง แข่งขันได้ด้วย Brand/Technology</v>
      </c>
      <c r="Z47" s="30" t="str">
        <f t="shared" si="250"/>
        <v>✅ Margin สูง แข่งขันได้ด้วย Brand/Technology</v>
      </c>
      <c r="AA47" s="30" t="str">
        <f t="shared" si="250"/>
        <v>✅ Margin สูง แข่งขันได้ด้วย Brand/Technology</v>
      </c>
      <c r="AB47" s="30" t="str">
        <f t="shared" si="250"/>
        <v>✅ Margin สูง แข่งขันได้ด้วย Brand/Technology</v>
      </c>
      <c r="AC47" s="30" t="str">
        <f t="shared" ref="AC47:BE47" si="251">IF(AC28&gt;60%, "✅ Margin สูง แข่งขันได้ด้วย Brand/Technology",
 IF(AC28&gt;40%, "⚠️ Margin ปานกลาง ต้องดู Efficiency เพิ่ม",
 "❌ Margin ต่ำ ต้องใช้ Volume หรือ Scale เล่น"))</f>
        <v>✅ Margin สูง แข่งขันได้ด้วย Brand/Technology</v>
      </c>
      <c r="AD47" s="30" t="str">
        <f t="shared" si="251"/>
        <v>✅ Margin สูง แข่งขันได้ด้วย Brand/Technology</v>
      </c>
      <c r="AE47" s="30" t="str">
        <f t="shared" si="251"/>
        <v>❌ Margin ต่ำ ต้องใช้ Volume หรือ Scale เล่น</v>
      </c>
      <c r="AF47" s="30" t="str">
        <f t="shared" si="251"/>
        <v>✅ Margin สูง แข่งขันได้ด้วย Brand/Technology</v>
      </c>
      <c r="AG47" s="30" t="str">
        <f t="shared" si="251"/>
        <v>✅ Margin สูง แข่งขันได้ด้วย Brand/Technology</v>
      </c>
      <c r="AH47" s="30" t="str">
        <f t="shared" si="251"/>
        <v>✅ Margin สูง แข่งขันได้ด้วย Brand/Technology</v>
      </c>
      <c r="AI47" s="30" t="str">
        <f t="shared" si="251"/>
        <v>✅ Margin สูง แข่งขันได้ด้วย Brand/Technology</v>
      </c>
      <c r="AJ47" s="30" t="str">
        <f t="shared" si="251"/>
        <v>✅ Margin สูง แข่งขันได้ด้วย Brand/Technology</v>
      </c>
      <c r="AK47" s="30" t="str">
        <f t="shared" si="251"/>
        <v>✅ Margin สูง แข่งขันได้ด้วย Brand/Technology</v>
      </c>
      <c r="AL47" s="30" t="str">
        <f t="shared" si="251"/>
        <v>✅ Margin สูง แข่งขันได้ด้วย Brand/Technology</v>
      </c>
      <c r="AM47" s="30" t="str">
        <f t="shared" si="251"/>
        <v>✅ Margin สูง แข่งขันได้ด้วย Brand/Technology</v>
      </c>
      <c r="AN47" s="30" t="str">
        <f t="shared" si="251"/>
        <v>✅ Margin สูง แข่งขันได้ด้วย Brand/Technology</v>
      </c>
      <c r="AO47" s="30" t="str">
        <f t="shared" si="251"/>
        <v>✅ Margin สูง แข่งขันได้ด้วย Brand/Technology</v>
      </c>
      <c r="AP47" s="30" t="str">
        <f t="shared" si="251"/>
        <v>❌ Margin ต่ำ ต้องใช้ Volume หรือ Scale เล่น</v>
      </c>
      <c r="AQ47" s="30" t="str">
        <f t="shared" si="251"/>
        <v>✅ Margin สูง แข่งขันได้ด้วย Brand/Technology</v>
      </c>
      <c r="AR47" s="30" t="str">
        <f t="shared" si="251"/>
        <v>❌ Margin ต่ำ ต้องใช้ Volume หรือ Scale เล่น</v>
      </c>
      <c r="AS47" s="30" t="str">
        <f t="shared" si="251"/>
        <v>✅ Margin สูง แข่งขันได้ด้วย Brand/Technology</v>
      </c>
      <c r="AT47" s="30" t="str">
        <f t="shared" si="251"/>
        <v>✅ Margin สูง แข่งขันได้ด้วย Brand/Technology</v>
      </c>
      <c r="AU47" s="30" t="str">
        <f t="shared" si="251"/>
        <v>✅ Margin สูง แข่งขันได้ด้วย Brand/Technology</v>
      </c>
      <c r="AV47" s="30" t="str">
        <f t="shared" si="251"/>
        <v>✅ Margin สูง แข่งขันได้ด้วย Brand/Technology</v>
      </c>
      <c r="AW47" s="30" t="str">
        <f t="shared" si="251"/>
        <v>❌ Margin ต่ำ ต้องใช้ Volume หรือ Scale เล่น</v>
      </c>
      <c r="AX47" s="30" t="str">
        <f t="shared" si="251"/>
        <v>❌ Margin ต่ำ ต้องใช้ Volume หรือ Scale เล่น</v>
      </c>
      <c r="AY47" s="30" t="str">
        <f t="shared" si="251"/>
        <v>❌ Margin ต่ำ ต้องใช้ Volume หรือ Scale เล่น</v>
      </c>
      <c r="AZ47" s="30" t="str">
        <f t="shared" si="251"/>
        <v>✅ Margin สูง แข่งขันได้ด้วย Brand/Technology</v>
      </c>
      <c r="BA47" s="30" t="str">
        <f t="shared" si="251"/>
        <v>✅ Margin สูง แข่งขันได้ด้วย Brand/Technology</v>
      </c>
      <c r="BB47" s="30" t="str">
        <f t="shared" si="251"/>
        <v>✅ Margin สูง แข่งขันได้ด้วย Brand/Technology</v>
      </c>
      <c r="BC47" s="30" t="str">
        <f t="shared" si="251"/>
        <v>✅ Margin สูง แข่งขันได้ด้วย Brand/Technology</v>
      </c>
      <c r="BD47" s="30" t="str">
        <f t="shared" si="251"/>
        <v>✅ Margin สูง แข่งขันได้ด้วย Brand/Technology</v>
      </c>
      <c r="BE47" s="30" t="str">
        <f t="shared" si="251"/>
        <v>✅ Margin สูง แข่งขันได้ด้วย Brand/Technology</v>
      </c>
      <c r="BF47" s="30" t="str">
        <f t="shared" ref="BF47:BK47" si="252">IF(BF28&gt;60%, "✅ Margin สูง แข่งขันได้ด้วย Brand/Technology",
 IF(BF28&gt;40%, "⚠️ Margin ปานกลาง ต้องดู Efficiency เพิ่ม",
 "❌ Margin ต่ำ ต้องใช้ Volume หรือ Scale เล่น"))</f>
        <v>✅ Margin สูง แข่งขันได้ด้วย Brand/Technology</v>
      </c>
      <c r="BG47" s="30" t="str">
        <f t="shared" si="252"/>
        <v>✅ Margin สูง แข่งขันได้ด้วย Brand/Technology</v>
      </c>
      <c r="BH47" s="30" t="str">
        <f t="shared" si="252"/>
        <v>✅ Margin สูง แข่งขันได้ด้วย Brand/Technology</v>
      </c>
      <c r="BI47" s="30" t="str">
        <f t="shared" si="252"/>
        <v>✅ Margin สูง แข่งขันได้ด้วย Brand/Technology</v>
      </c>
      <c r="BJ47" s="30" t="str">
        <f t="shared" si="252"/>
        <v>✅ Margin สูง แข่งขันได้ด้วย Brand/Technology</v>
      </c>
      <c r="BK47" s="30" t="str">
        <f t="shared" si="252"/>
        <v>✅ Margin สูง แข่งขันได้ด้วย Brand/Technology</v>
      </c>
      <c r="BL47" s="30" t="str">
        <f t="shared" ref="BL47:DW47" si="253">IF(BL28&gt;60%, "✅ Margin สูง แข่งขันได้ด้วย Brand/Technology",
 IF(BL28&gt;40%, "⚠️ Margin ปานกลาง ต้องดู Efficiency เพิ่ม",
 "❌ Margin ต่ำ ต้องใช้ Volume หรือ Scale เล่น"))</f>
        <v>✅ Margin สูง แข่งขันได้ด้วย Brand/Technology</v>
      </c>
      <c r="BM47" s="30" t="str">
        <f t="shared" si="253"/>
        <v>✅ Margin สูง แข่งขันได้ด้วย Brand/Technology</v>
      </c>
      <c r="BN47" s="30" t="str">
        <f t="shared" si="253"/>
        <v>✅ Margin สูง แข่งขันได้ด้วย Brand/Technology</v>
      </c>
      <c r="BO47" s="30" t="str">
        <f t="shared" si="253"/>
        <v>✅ Margin สูง แข่งขันได้ด้วย Brand/Technology</v>
      </c>
      <c r="BP47" s="30" t="str">
        <f t="shared" si="253"/>
        <v>✅ Margin สูง แข่งขันได้ด้วย Brand/Technology</v>
      </c>
      <c r="BQ47" s="30" t="str">
        <f t="shared" si="253"/>
        <v>✅ Margin สูง แข่งขันได้ด้วย Brand/Technology</v>
      </c>
      <c r="BR47" s="30" t="str">
        <f t="shared" si="253"/>
        <v>✅ Margin สูง แข่งขันได้ด้วย Brand/Technology</v>
      </c>
      <c r="BS47" s="30" t="str">
        <f t="shared" si="253"/>
        <v>✅ Margin สูง แข่งขันได้ด้วย Brand/Technology</v>
      </c>
      <c r="BT47" s="30" t="str">
        <f t="shared" si="253"/>
        <v>❌ Margin ต่ำ ต้องใช้ Volume หรือ Scale เล่น</v>
      </c>
      <c r="BU47" s="30" t="str">
        <f t="shared" si="253"/>
        <v>✅ Margin สูง แข่งขันได้ด้วย Brand/Technology</v>
      </c>
      <c r="BV47" s="30" t="str">
        <f t="shared" si="253"/>
        <v>✅ Margin สูง แข่งขันได้ด้วย Brand/Technology</v>
      </c>
      <c r="BW47" s="30" t="str">
        <f t="shared" si="253"/>
        <v>✅ Margin สูง แข่งขันได้ด้วย Brand/Technology</v>
      </c>
      <c r="BX47" s="30" t="str">
        <f t="shared" si="253"/>
        <v>✅ Margin สูง แข่งขันได้ด้วย Brand/Technology</v>
      </c>
      <c r="BY47" s="30" t="str">
        <f t="shared" si="253"/>
        <v>✅ Margin สูง แข่งขันได้ด้วย Brand/Technology</v>
      </c>
      <c r="BZ47" s="30" t="str">
        <f t="shared" si="253"/>
        <v>✅ Margin สูง แข่งขันได้ด้วย Brand/Technology</v>
      </c>
      <c r="CA47" s="30" t="str">
        <f t="shared" si="253"/>
        <v>✅ Margin สูง แข่งขันได้ด้วย Brand/Technology</v>
      </c>
      <c r="CB47" s="30" t="str">
        <f t="shared" si="253"/>
        <v>❌ Margin ต่ำ ต้องใช้ Volume หรือ Scale เล่น</v>
      </c>
      <c r="CC47" s="30" t="str">
        <f t="shared" si="253"/>
        <v>❌ Margin ต่ำ ต้องใช้ Volume หรือ Scale เล่น</v>
      </c>
      <c r="CD47" s="30" t="str">
        <f t="shared" si="253"/>
        <v>✅ Margin สูง แข่งขันได้ด้วย Brand/Technology</v>
      </c>
      <c r="CE47" s="30" t="str">
        <f t="shared" si="253"/>
        <v>✅ Margin สูง แข่งขันได้ด้วย Brand/Technology</v>
      </c>
      <c r="CF47" s="30" t="str">
        <f t="shared" si="253"/>
        <v>✅ Margin สูง แข่งขันได้ด้วย Brand/Technology</v>
      </c>
      <c r="CG47" s="30" t="str">
        <f t="shared" si="253"/>
        <v>❌ Margin ต่ำ ต้องใช้ Volume หรือ Scale เล่น</v>
      </c>
      <c r="CH47" s="30" t="str">
        <f t="shared" si="253"/>
        <v>❌ Margin ต่ำ ต้องใช้ Volume หรือ Scale เล่น</v>
      </c>
      <c r="CI47" s="30" t="str">
        <f t="shared" si="253"/>
        <v>✅ Margin สูง แข่งขันได้ด้วย Brand/Technology</v>
      </c>
      <c r="CJ47" s="30" t="str">
        <f t="shared" si="253"/>
        <v>❌ Margin ต่ำ ต้องใช้ Volume หรือ Scale เล่น</v>
      </c>
      <c r="CK47" s="30" t="str">
        <f t="shared" si="253"/>
        <v>✅ Margin สูง แข่งขันได้ด้วย Brand/Technology</v>
      </c>
      <c r="CL47" s="30" t="str">
        <f t="shared" si="253"/>
        <v>✅ Margin สูง แข่งขันได้ด้วย Brand/Technology</v>
      </c>
      <c r="CM47" s="30" t="str">
        <f t="shared" si="253"/>
        <v>❌ Margin ต่ำ ต้องใช้ Volume หรือ Scale เล่น</v>
      </c>
      <c r="CN47" s="30" t="str">
        <f t="shared" si="253"/>
        <v>✅ Margin สูง แข่งขันได้ด้วย Brand/Technology</v>
      </c>
      <c r="CO47" s="30" t="str">
        <f t="shared" si="253"/>
        <v>✅ Margin สูง แข่งขันได้ด้วย Brand/Technology</v>
      </c>
      <c r="CP47" s="30" t="str">
        <f t="shared" si="253"/>
        <v>✅ Margin สูง แข่งขันได้ด้วย Brand/Technology</v>
      </c>
      <c r="CQ47" s="30" t="str">
        <f t="shared" si="253"/>
        <v>✅ Margin สูง แข่งขันได้ด้วย Brand/Technology</v>
      </c>
      <c r="CR47" s="30" t="str">
        <f t="shared" si="253"/>
        <v>✅ Margin สูง แข่งขันได้ด้วย Brand/Technology</v>
      </c>
      <c r="CS47" s="30" t="str">
        <f t="shared" si="253"/>
        <v>✅ Margin สูง แข่งขันได้ด้วย Brand/Technology</v>
      </c>
      <c r="CT47" s="30" t="str">
        <f t="shared" si="253"/>
        <v>✅ Margin สูง แข่งขันได้ด้วย Brand/Technology</v>
      </c>
      <c r="CU47" s="30" t="str">
        <f t="shared" si="253"/>
        <v>✅ Margin สูง แข่งขันได้ด้วย Brand/Technology</v>
      </c>
      <c r="CV47" s="30" t="str">
        <f t="shared" si="253"/>
        <v>❌ Margin ต่ำ ต้องใช้ Volume หรือ Scale เล่น</v>
      </c>
      <c r="CW47" s="30" t="str">
        <f t="shared" si="253"/>
        <v>✅ Margin สูง แข่งขันได้ด้วย Brand/Technology</v>
      </c>
      <c r="CX47" s="30" t="str">
        <f t="shared" si="253"/>
        <v>✅ Margin สูง แข่งขันได้ด้วย Brand/Technology</v>
      </c>
      <c r="CY47" s="30" t="str">
        <f t="shared" si="253"/>
        <v>✅ Margin สูง แข่งขันได้ด้วย Brand/Technology</v>
      </c>
      <c r="CZ47" s="30" t="str">
        <f t="shared" si="253"/>
        <v>✅ Margin สูง แข่งขันได้ด้วย Brand/Technology</v>
      </c>
      <c r="DA47" s="30" t="str">
        <f t="shared" si="253"/>
        <v>✅ Margin สูง แข่งขันได้ด้วย Brand/Technology</v>
      </c>
      <c r="DB47" s="30" t="str">
        <f t="shared" si="253"/>
        <v>✅ Margin สูง แข่งขันได้ด้วย Brand/Technology</v>
      </c>
      <c r="DC47" s="30" t="str">
        <f t="shared" si="253"/>
        <v>✅ Margin สูง แข่งขันได้ด้วย Brand/Technology</v>
      </c>
      <c r="DD47" s="30" t="str">
        <f t="shared" si="253"/>
        <v>✅ Margin สูง แข่งขันได้ด้วย Brand/Technology</v>
      </c>
      <c r="DE47" s="30" t="str">
        <f t="shared" si="253"/>
        <v>❌ Margin ต่ำ ต้องใช้ Volume หรือ Scale เล่น</v>
      </c>
      <c r="DF47" s="30" t="str">
        <f t="shared" si="253"/>
        <v>✅ Margin สูง แข่งขันได้ด้วย Brand/Technology</v>
      </c>
      <c r="DG47" s="30" t="str">
        <f t="shared" si="253"/>
        <v>✅ Margin สูง แข่งขันได้ด้วย Brand/Technology</v>
      </c>
      <c r="DH47" s="30" t="str">
        <f t="shared" si="253"/>
        <v>✅ Margin สูง แข่งขันได้ด้วย Brand/Technology</v>
      </c>
      <c r="DI47" s="30" t="str">
        <f t="shared" si="253"/>
        <v>✅ Margin สูง แข่งขันได้ด้วย Brand/Technology</v>
      </c>
      <c r="DJ47" s="30" t="str">
        <f t="shared" si="253"/>
        <v>✅ Margin สูง แข่งขันได้ด้วย Brand/Technology</v>
      </c>
      <c r="DK47" s="30" t="str">
        <f t="shared" si="253"/>
        <v>❌ Margin ต่ำ ต้องใช้ Volume หรือ Scale เล่น</v>
      </c>
      <c r="DL47" s="30" t="str">
        <f t="shared" si="253"/>
        <v>❌ Margin ต่ำ ต้องใช้ Volume หรือ Scale เล่น</v>
      </c>
      <c r="DM47" s="30" t="str">
        <f t="shared" si="253"/>
        <v>✅ Margin สูง แข่งขันได้ด้วย Brand/Technology</v>
      </c>
      <c r="DN47" s="30" t="str">
        <f t="shared" si="253"/>
        <v>✅ Margin สูง แข่งขันได้ด้วย Brand/Technology</v>
      </c>
      <c r="DO47" s="30" t="str">
        <f t="shared" si="253"/>
        <v>✅ Margin สูง แข่งขันได้ด้วย Brand/Technology</v>
      </c>
      <c r="DP47" s="30" t="str">
        <f t="shared" si="253"/>
        <v>✅ Margin สูง แข่งขันได้ด้วย Brand/Technology</v>
      </c>
      <c r="DQ47" s="30" t="str">
        <f t="shared" si="253"/>
        <v>✅ Margin สูง แข่งขันได้ด้วย Brand/Technology</v>
      </c>
      <c r="DR47" s="30" t="str">
        <f t="shared" si="253"/>
        <v>❌ Margin ต่ำ ต้องใช้ Volume หรือ Scale เล่น</v>
      </c>
      <c r="DS47" s="30" t="str">
        <f t="shared" si="253"/>
        <v>❌ Margin ต่ำ ต้องใช้ Volume หรือ Scale เล่น</v>
      </c>
      <c r="DT47" s="30" t="str">
        <f t="shared" si="253"/>
        <v>✅ Margin สูง แข่งขันได้ด้วย Brand/Technology</v>
      </c>
      <c r="DU47" s="30" t="str">
        <f t="shared" si="253"/>
        <v>✅ Margin สูง แข่งขันได้ด้วย Brand/Technology</v>
      </c>
      <c r="DV47" s="30" t="str">
        <f t="shared" si="253"/>
        <v>✅ Margin สูง แข่งขันได้ด้วย Brand/Technology</v>
      </c>
      <c r="DW47" s="30" t="str">
        <f t="shared" si="253"/>
        <v>✅ Margin สูง แข่งขันได้ด้วย Brand/Technology</v>
      </c>
      <c r="DX47" s="30" t="str">
        <f t="shared" ref="DX47:FA47" si="254">IF(DX28&gt;60%, "✅ Margin สูง แข่งขันได้ด้วย Brand/Technology",
 IF(DX28&gt;40%, "⚠️ Margin ปานกลาง ต้องดู Efficiency เพิ่ม",
 "❌ Margin ต่ำ ต้องใช้ Volume หรือ Scale เล่น"))</f>
        <v>✅ Margin สูง แข่งขันได้ด้วย Brand/Technology</v>
      </c>
      <c r="DY47" s="30" t="str">
        <f t="shared" si="254"/>
        <v>❌ Margin ต่ำ ต้องใช้ Volume หรือ Scale เล่น</v>
      </c>
      <c r="DZ47" s="30" t="str">
        <f t="shared" si="254"/>
        <v>❌ Margin ต่ำ ต้องใช้ Volume หรือ Scale เล่น</v>
      </c>
      <c r="EA47" s="30" t="str">
        <f t="shared" si="254"/>
        <v>✅ Margin สูง แข่งขันได้ด้วย Brand/Technology</v>
      </c>
      <c r="EB47" s="30" t="str">
        <f t="shared" si="254"/>
        <v>✅ Margin สูง แข่งขันได้ด้วย Brand/Technology</v>
      </c>
      <c r="EC47" s="30" t="str">
        <f t="shared" si="254"/>
        <v>✅ Margin สูง แข่งขันได้ด้วย Brand/Technology</v>
      </c>
      <c r="ED47" s="30" t="str">
        <f t="shared" si="254"/>
        <v>❌ Margin ต่ำ ต้องใช้ Volume หรือ Scale เล่น</v>
      </c>
      <c r="EE47" s="30" t="str">
        <f t="shared" si="254"/>
        <v>❌ Margin ต่ำ ต้องใช้ Volume หรือ Scale เล่น</v>
      </c>
      <c r="EF47" s="30" t="str">
        <f t="shared" si="254"/>
        <v>✅ Margin สูง แข่งขันได้ด้วย Brand/Technology</v>
      </c>
      <c r="EG47" s="30" t="str">
        <f t="shared" si="254"/>
        <v>❌ Margin ต่ำ ต้องใช้ Volume หรือ Scale เล่น</v>
      </c>
      <c r="EH47" s="30" t="str">
        <f t="shared" si="254"/>
        <v>✅ Margin สูง แข่งขันได้ด้วย Brand/Technology</v>
      </c>
      <c r="EI47" s="30" t="str">
        <f t="shared" si="254"/>
        <v>✅ Margin สูง แข่งขันได้ด้วย Brand/Technology</v>
      </c>
      <c r="EJ47" s="30" t="str">
        <f t="shared" si="254"/>
        <v>✅ Margin สูง แข่งขันได้ด้วย Brand/Technology</v>
      </c>
      <c r="EK47" s="30" t="str">
        <f t="shared" si="254"/>
        <v>❌ Margin ต่ำ ต้องใช้ Volume หรือ Scale เล่น</v>
      </c>
      <c r="EL47" s="30" t="str">
        <f t="shared" si="254"/>
        <v>✅ Margin สูง แข่งขันได้ด้วย Brand/Technology</v>
      </c>
      <c r="EM47" s="30" t="str">
        <f t="shared" si="254"/>
        <v>✅ Margin สูง แข่งขันได้ด้วย Brand/Technology</v>
      </c>
      <c r="EN47" s="30" t="str">
        <f t="shared" si="254"/>
        <v>✅ Margin สูง แข่งขันได้ด้วย Brand/Technology</v>
      </c>
      <c r="EO47" s="44" t="str">
        <f t="shared" si="254"/>
        <v>✅ Margin สูง แข่งขันได้ด้วย Brand/Technology</v>
      </c>
      <c r="EZ47" s="41" t="str">
        <f t="shared" si="254"/>
        <v>✅ Margin สูง แข่งขันได้ด้วย Brand/Technology</v>
      </c>
      <c r="FA47" s="30" t="str">
        <f t="shared" si="254"/>
        <v>✅ Margin สูง แข่งขันได้ด้วย Brand/Technology</v>
      </c>
      <c r="FB47" s="30" t="str">
        <f t="shared" ref="FB47:HM47" si="255">IF(FB28&gt;60%, "✅ Margin สูง แข่งขันได้ด้วย Brand/Technology",
 IF(FB28&gt;40%, "⚠️ Margin ปานกลาง ต้องดู Efficiency เพิ่ม",
 "❌ Margin ต่ำ ต้องใช้ Volume หรือ Scale เล่น"))</f>
        <v>✅ Margin สูง แข่งขันได้ด้วย Brand/Technology</v>
      </c>
      <c r="FC47" s="30" t="str">
        <f t="shared" si="255"/>
        <v>✅ Margin สูง แข่งขันได้ด้วย Brand/Technology</v>
      </c>
      <c r="FD47" s="30" t="str">
        <f t="shared" si="255"/>
        <v>✅ Margin สูง แข่งขันได้ด้วย Brand/Technology</v>
      </c>
      <c r="FE47" s="30" t="str">
        <f t="shared" si="255"/>
        <v>✅ Margin สูง แข่งขันได้ด้วย Brand/Technology</v>
      </c>
      <c r="FF47" s="30" t="str">
        <f t="shared" si="255"/>
        <v>❌ Margin ต่ำ ต้องใช้ Volume หรือ Scale เล่น</v>
      </c>
      <c r="FG47" s="30" t="str">
        <f t="shared" si="255"/>
        <v>✅ Margin สูง แข่งขันได้ด้วย Brand/Technology</v>
      </c>
      <c r="FH47" s="30" t="str">
        <f t="shared" si="255"/>
        <v>✅ Margin สูง แข่งขันได้ด้วย Brand/Technology</v>
      </c>
      <c r="FI47" s="30" t="str">
        <f t="shared" si="255"/>
        <v>✅ Margin สูง แข่งขันได้ด้วย Brand/Technology</v>
      </c>
      <c r="FJ47" s="30" t="str">
        <f t="shared" si="255"/>
        <v>✅ Margin สูง แข่งขันได้ด้วย Brand/Technology</v>
      </c>
      <c r="FK47" s="30" t="str">
        <f t="shared" si="255"/>
        <v>✅ Margin สูง แข่งขันได้ด้วย Brand/Technology</v>
      </c>
      <c r="FL47" s="30" t="str">
        <f t="shared" si="255"/>
        <v>✅ Margin สูง แข่งขันได้ด้วย Brand/Technology</v>
      </c>
      <c r="FM47" s="30" t="str">
        <f t="shared" si="255"/>
        <v>✅ Margin สูง แข่งขันได้ด้วย Brand/Technology</v>
      </c>
      <c r="FN47" s="30" t="str">
        <f t="shared" si="255"/>
        <v>✅ Margin สูง แข่งขันได้ด้วย Brand/Technology</v>
      </c>
      <c r="FO47" s="30" t="str">
        <f t="shared" si="255"/>
        <v>✅ Margin สูง แข่งขันได้ด้วย Brand/Technology</v>
      </c>
      <c r="FP47" s="30" t="str">
        <f t="shared" si="255"/>
        <v>✅ Margin สูง แข่งขันได้ด้วย Brand/Technology</v>
      </c>
      <c r="FQ47" s="30" t="str">
        <f t="shared" si="255"/>
        <v>✅ Margin สูง แข่งขันได้ด้วย Brand/Technology</v>
      </c>
      <c r="FR47" s="30" t="str">
        <f t="shared" si="255"/>
        <v>✅ Margin สูง แข่งขันได้ด้วย Brand/Technology</v>
      </c>
      <c r="FS47" s="30" t="str">
        <f t="shared" si="255"/>
        <v>✅ Margin สูง แข่งขันได้ด้วย Brand/Technology</v>
      </c>
      <c r="FT47" s="30" t="str">
        <f t="shared" si="255"/>
        <v>✅ Margin สูง แข่งขันได้ด้วย Brand/Technology</v>
      </c>
      <c r="FU47" s="30" t="str">
        <f t="shared" si="255"/>
        <v>✅ Margin สูง แข่งขันได้ด้วย Brand/Technology</v>
      </c>
      <c r="FV47" s="30" t="str">
        <f t="shared" si="255"/>
        <v>✅ Margin สูง แข่งขันได้ด้วย Brand/Technology</v>
      </c>
      <c r="FW47" s="30" t="str">
        <f t="shared" si="255"/>
        <v>✅ Margin สูง แข่งขันได้ด้วย Brand/Technology</v>
      </c>
      <c r="FX47" s="30" t="str">
        <f t="shared" si="255"/>
        <v>✅ Margin สูง แข่งขันได้ด้วย Brand/Technology</v>
      </c>
      <c r="FY47" s="30" t="str">
        <f t="shared" si="255"/>
        <v>✅ Margin สูง แข่งขันได้ด้วย Brand/Technology</v>
      </c>
      <c r="FZ47" s="30" t="str">
        <f t="shared" si="255"/>
        <v>✅ Margin สูง แข่งขันได้ด้วย Brand/Technology</v>
      </c>
      <c r="GA47" s="30" t="str">
        <f t="shared" si="255"/>
        <v>✅ Margin สูง แข่งขันได้ด้วย Brand/Technology</v>
      </c>
      <c r="GB47" s="30" t="str">
        <f t="shared" si="255"/>
        <v>✅ Margin สูง แข่งขันได้ด้วย Brand/Technology</v>
      </c>
      <c r="GC47" s="30" t="str">
        <f t="shared" si="255"/>
        <v>✅ Margin สูง แข่งขันได้ด้วย Brand/Technology</v>
      </c>
      <c r="GD47" s="30" t="str">
        <f t="shared" si="255"/>
        <v>✅ Margin สูง แข่งขันได้ด้วย Brand/Technology</v>
      </c>
      <c r="GE47" s="30" t="str">
        <f t="shared" si="255"/>
        <v>✅ Margin สูง แข่งขันได้ด้วย Brand/Technology</v>
      </c>
      <c r="GF47" s="30" t="str">
        <f t="shared" si="255"/>
        <v>✅ Margin สูง แข่งขันได้ด้วย Brand/Technology</v>
      </c>
      <c r="GG47" s="30" t="str">
        <f t="shared" si="255"/>
        <v>✅ Margin สูง แข่งขันได้ด้วย Brand/Technology</v>
      </c>
      <c r="GH47" s="30" t="str">
        <f t="shared" si="255"/>
        <v>✅ Margin สูง แข่งขันได้ด้วย Brand/Technology</v>
      </c>
      <c r="GI47" s="30" t="str">
        <f t="shared" si="255"/>
        <v>✅ Margin สูง แข่งขันได้ด้วย Brand/Technology</v>
      </c>
      <c r="GJ47" s="30" t="str">
        <f t="shared" si="255"/>
        <v>✅ Margin สูง แข่งขันได้ด้วย Brand/Technology</v>
      </c>
      <c r="GK47" s="30" t="str">
        <f t="shared" si="255"/>
        <v>✅ Margin สูง แข่งขันได้ด้วย Brand/Technology</v>
      </c>
      <c r="GL47" s="30" t="str">
        <f t="shared" si="255"/>
        <v>✅ Margin สูง แข่งขันได้ด้วย Brand/Technology</v>
      </c>
      <c r="GM47" s="30" t="str">
        <f t="shared" si="255"/>
        <v>✅ Margin สูง แข่งขันได้ด้วย Brand/Technology</v>
      </c>
      <c r="GN47" s="30" t="str">
        <f t="shared" si="255"/>
        <v>✅ Margin สูง แข่งขันได้ด้วย Brand/Technology</v>
      </c>
      <c r="GO47" s="30" t="str">
        <f t="shared" si="255"/>
        <v>✅ Margin สูง แข่งขันได้ด้วย Brand/Technology</v>
      </c>
      <c r="GP47" s="30" t="str">
        <f t="shared" si="255"/>
        <v>✅ Margin สูง แข่งขันได้ด้วย Brand/Technology</v>
      </c>
      <c r="GQ47" s="30" t="str">
        <f t="shared" si="255"/>
        <v>✅ Margin สูง แข่งขันได้ด้วย Brand/Technology</v>
      </c>
      <c r="GR47" s="30" t="str">
        <f t="shared" si="255"/>
        <v>✅ Margin สูง แข่งขันได้ด้วย Brand/Technology</v>
      </c>
      <c r="GS47" s="30" t="str">
        <f t="shared" si="255"/>
        <v>✅ Margin สูง แข่งขันได้ด้วย Brand/Technology</v>
      </c>
      <c r="GT47" s="30" t="str">
        <f t="shared" si="255"/>
        <v>❌ Margin ต่ำ ต้องใช้ Volume หรือ Scale เล่น</v>
      </c>
      <c r="GU47" s="30" t="str">
        <f t="shared" si="255"/>
        <v>❌ Margin ต่ำ ต้องใช้ Volume หรือ Scale เล่น</v>
      </c>
      <c r="GV47" s="30" t="str">
        <f t="shared" si="255"/>
        <v>❌ Margin ต่ำ ต้องใช้ Volume หรือ Scale เล่น</v>
      </c>
      <c r="GW47" s="30" t="str">
        <f t="shared" si="255"/>
        <v>❌ Margin ต่ำ ต้องใช้ Volume หรือ Scale เล่น</v>
      </c>
      <c r="GX47" s="30" t="str">
        <f t="shared" si="255"/>
        <v>❌ Margin ต่ำ ต้องใช้ Volume หรือ Scale เล่น</v>
      </c>
      <c r="GY47" s="30" t="str">
        <f t="shared" si="255"/>
        <v>❌ Margin ต่ำ ต้องใช้ Volume หรือ Scale เล่น</v>
      </c>
      <c r="GZ47" s="30" t="str">
        <f t="shared" si="255"/>
        <v>❌ Margin ต่ำ ต้องใช้ Volume หรือ Scale เล่น</v>
      </c>
      <c r="HA47" s="30" t="str">
        <f t="shared" si="255"/>
        <v>❌ Margin ต่ำ ต้องใช้ Volume หรือ Scale เล่น</v>
      </c>
      <c r="HB47" s="30" t="str">
        <f t="shared" si="255"/>
        <v>✅ Margin สูง แข่งขันได้ด้วย Brand/Technology</v>
      </c>
      <c r="HC47" s="30" t="str">
        <f t="shared" si="255"/>
        <v>✅ Margin สูง แข่งขันได้ด้วย Brand/Technology</v>
      </c>
      <c r="HD47" s="30" t="str">
        <f t="shared" si="255"/>
        <v>✅ Margin สูง แข่งขันได้ด้วย Brand/Technology</v>
      </c>
      <c r="HE47" s="30" t="str">
        <f t="shared" si="255"/>
        <v>✅ Margin สูง แข่งขันได้ด้วย Brand/Technology</v>
      </c>
      <c r="HF47" s="30" t="str">
        <f t="shared" si="255"/>
        <v>✅ Margin สูง แข่งขันได้ด้วย Brand/Technology</v>
      </c>
      <c r="HG47" s="30" t="str">
        <f t="shared" si="255"/>
        <v>✅ Margin สูง แข่งขันได้ด้วย Brand/Technology</v>
      </c>
      <c r="HH47" s="30" t="str">
        <f t="shared" si="255"/>
        <v>✅ Margin สูง แข่งขันได้ด้วย Brand/Technology</v>
      </c>
      <c r="HI47" s="30" t="str">
        <f t="shared" si="255"/>
        <v>✅ Margin สูง แข่งขันได้ด้วย Brand/Technology</v>
      </c>
      <c r="HJ47" s="30" t="str">
        <f t="shared" si="255"/>
        <v>❌ Margin ต่ำ ต้องใช้ Volume หรือ Scale เล่น</v>
      </c>
      <c r="HK47" s="30" t="str">
        <f t="shared" si="255"/>
        <v>✅ Margin สูง แข่งขันได้ด้วย Brand/Technology</v>
      </c>
      <c r="HL47" s="30" t="str">
        <f t="shared" si="255"/>
        <v>✅ Margin สูง แข่งขันได้ด้วย Brand/Technology</v>
      </c>
      <c r="HM47" s="30" t="str">
        <f t="shared" si="255"/>
        <v>✅ Margin สูง แข่งขันได้ด้วย Brand/Technology</v>
      </c>
      <c r="HN47" s="30" t="str">
        <f t="shared" ref="HN47:HP47" si="256">IF(HN28&gt;60%, "✅ Margin สูง แข่งขันได้ด้วย Brand/Technology",
 IF(HN28&gt;40%, "⚠️ Margin ปานกลาง ต้องดู Efficiency เพิ่ม",
 "❌ Margin ต่ำ ต้องใช้ Volume หรือ Scale เล่น"))</f>
        <v>✅ Margin สูง แข่งขันได้ด้วย Brand/Technology</v>
      </c>
      <c r="HO47" s="30" t="str">
        <f t="shared" si="256"/>
        <v>✅ Margin สูง แข่งขันได้ด้วย Brand/Technology</v>
      </c>
      <c r="HP47" s="30" t="str">
        <f t="shared" si="256"/>
        <v>✅ Margin สูง แข่งขันได้ด้วย Brand/Technology</v>
      </c>
      <c r="HQ47" s="30" t="str">
        <f t="shared" ref="HQ47:HV47" si="257">IF(HQ28&gt;60%, "✅ Margin สูง แข่งขันได้ด้วย Brand/Technology",
 IF(HQ28&gt;40%, "⚠️ Margin ปานกลาง ต้องดู Efficiency เพิ่ม",
 "❌ Margin ต่ำ ต้องใช้ Volume หรือ Scale เล่น"))</f>
        <v>✅ Margin สูง แข่งขันได้ด้วย Brand/Technology</v>
      </c>
      <c r="HR47" s="30" t="str">
        <f t="shared" si="257"/>
        <v>✅ Margin สูง แข่งขันได้ด้วย Brand/Technology</v>
      </c>
      <c r="HS47" s="30" t="str">
        <f t="shared" si="257"/>
        <v>✅ Margin สูง แข่งขันได้ด้วย Brand/Technology</v>
      </c>
      <c r="HT47" s="30" t="str">
        <f t="shared" si="257"/>
        <v>✅ Margin สูง แข่งขันได้ด้วย Brand/Technology</v>
      </c>
      <c r="HU47" s="30" t="str">
        <f t="shared" si="257"/>
        <v>✅ Margin สูง แข่งขันได้ด้วย Brand/Technology</v>
      </c>
      <c r="HV47" s="30" t="str">
        <f t="shared" si="257"/>
        <v>✅ Margin สูง แข่งขันได้ด้วย Brand/Technology</v>
      </c>
      <c r="HW47" s="30" t="str">
        <f t="shared" ref="HW47:HX47" si="258">IF(HW28&gt;60%, "✅ Margin สูง แข่งขันได้ด้วย Brand/Technology",
 IF(HW28&gt;40%, "⚠️ Margin ปานกลาง ต้องดู Efficiency เพิ่ม",
 "❌ Margin ต่ำ ต้องใช้ Volume หรือ Scale เล่น"))</f>
        <v>✅ Margin สูง แข่งขันได้ด้วย Brand/Technology</v>
      </c>
      <c r="HX47" s="30" t="str">
        <f t="shared" ref="HX47:HY47" si="259">IF(HX28&gt;60%, "✅ Margin สูง แข่งขันได้ด้วย Brand/Technology",
 IF(HX28&gt;40%, "⚠️ Margin ปานกลาง ต้องดู Efficiency เพิ่ม",
 "❌ Margin ต่ำ ต้องใช้ Volume หรือ Scale เล่น"))</f>
        <v>✅ Margin สูง แข่งขันได้ด้วย Brand/Technology</v>
      </c>
      <c r="HY47" s="30" t="str">
        <f t="shared" si="259"/>
        <v>✅ Margin สูง แข่งขันได้ด้วย Brand/Technology</v>
      </c>
    </row>
    <row r="48" spans="1:233" ht="24" customHeight="1" x14ac:dyDescent="0.5">
      <c r="A48" s="51"/>
      <c r="B48" s="21" t="str">
        <f t="shared" ref="B48:C48" si="260">IF(B30&lt;0.5, "✅ D/E ต่ำ ความเสี่ยงต่ำ",
 IF(B30&lt;=1, "⚠️ D/E ปานกลาง ต้องดู FCF ประกอบ",
 "❌ D/E สูง ระวังความเสี่ยงด้านเงินกู้"))</f>
        <v>⚠️ D/E ปานกลาง ต้องดู FCF ประกอบ</v>
      </c>
      <c r="C48" s="30" t="str">
        <f t="shared" si="260"/>
        <v>✅ D/E ต่ำ ความเสี่ยงต่ำ</v>
      </c>
      <c r="D48" s="30" t="str">
        <f t="shared" ref="D48:AB48" si="261">IF(D30&lt;0.5, "✅ D/E ต่ำ ความเสี่ยงต่ำ",
 IF(D30&lt;=1, "⚠️ D/E ปานกลาง ต้องดู FCF ประกอบ",
 "❌ D/E สูง ระวังความเสี่ยงด้านเงินกู้"))</f>
        <v>⚠️ D/E ปานกลาง ต้องดู FCF ประกอบ</v>
      </c>
      <c r="E48" s="30" t="str">
        <f t="shared" si="261"/>
        <v>✅ D/E ต่ำ ความเสี่ยงต่ำ</v>
      </c>
      <c r="F48" s="30" t="str">
        <f t="shared" si="261"/>
        <v>✅ D/E ต่ำ ความเสี่ยงต่ำ</v>
      </c>
      <c r="G48" s="30" t="str">
        <f t="shared" si="261"/>
        <v>✅ D/E ต่ำ ความเสี่ยงต่ำ</v>
      </c>
      <c r="H48" s="30" t="str">
        <f t="shared" si="261"/>
        <v>✅ D/E ต่ำ ความเสี่ยงต่ำ</v>
      </c>
      <c r="I48" s="30" t="str">
        <f t="shared" si="261"/>
        <v>✅ D/E ต่ำ ความเสี่ยงต่ำ</v>
      </c>
      <c r="J48" s="30" t="str">
        <f t="shared" si="261"/>
        <v>✅ D/E ต่ำ ความเสี่ยงต่ำ</v>
      </c>
      <c r="K48" s="30" t="str">
        <f t="shared" si="261"/>
        <v>❌ D/E สูง ระวังความเสี่ยงด้านเงินกู้</v>
      </c>
      <c r="L48" s="30" t="str">
        <f t="shared" si="261"/>
        <v>⚠️ D/E ปานกลาง ต้องดู FCF ประกอบ</v>
      </c>
      <c r="M48" s="30" t="str">
        <f t="shared" si="261"/>
        <v>✅ D/E ต่ำ ความเสี่ยงต่ำ</v>
      </c>
      <c r="N48" s="30" t="str">
        <f t="shared" si="261"/>
        <v>✅ D/E ต่ำ ความเสี่ยงต่ำ</v>
      </c>
      <c r="O48" s="30" t="str">
        <f t="shared" si="261"/>
        <v>✅ D/E ต่ำ ความเสี่ยงต่ำ</v>
      </c>
      <c r="P48" s="30" t="str">
        <f t="shared" si="261"/>
        <v>✅ D/E ต่ำ ความเสี่ยงต่ำ</v>
      </c>
      <c r="Q48" s="30" t="str">
        <f t="shared" si="261"/>
        <v>✅ D/E ต่ำ ความเสี่ยงต่ำ</v>
      </c>
      <c r="R48" s="30" t="str">
        <f t="shared" si="261"/>
        <v>❌ D/E สูง ระวังความเสี่ยงด้านเงินกู้</v>
      </c>
      <c r="S48" s="30" t="str">
        <f t="shared" si="261"/>
        <v>❌ D/E สูง ระวังความเสี่ยงด้านเงินกู้</v>
      </c>
      <c r="T48" s="30" t="str">
        <f t="shared" si="261"/>
        <v>⚠️ D/E ปานกลาง ต้องดู FCF ประกอบ</v>
      </c>
      <c r="U48" s="30" t="str">
        <f t="shared" si="261"/>
        <v>❌ D/E สูง ระวังความเสี่ยงด้านเงินกู้</v>
      </c>
      <c r="V48" s="30" t="str">
        <f t="shared" si="261"/>
        <v>⚠️ D/E ปานกลาง ต้องดู FCF ประกอบ</v>
      </c>
      <c r="W48" s="30" t="str">
        <f t="shared" si="261"/>
        <v>❌ D/E สูง ระวังความเสี่ยงด้านเงินกู้</v>
      </c>
      <c r="X48" s="30" t="str">
        <f t="shared" si="261"/>
        <v>✅ D/E ต่ำ ความเสี่ยงต่ำ</v>
      </c>
      <c r="Y48" s="30" t="str">
        <f t="shared" si="261"/>
        <v>⚠️ D/E ปานกลาง ต้องดู FCF ประกอบ</v>
      </c>
      <c r="Z48" s="30" t="str">
        <f t="shared" si="261"/>
        <v>❌ D/E สูง ระวังความเสี่ยงด้านเงินกู้</v>
      </c>
      <c r="AA48" s="30" t="str">
        <f t="shared" si="261"/>
        <v>✅ D/E ต่ำ ความเสี่ยงต่ำ</v>
      </c>
      <c r="AB48" s="30" t="str">
        <f t="shared" si="261"/>
        <v>✅ D/E ต่ำ ความเสี่ยงต่ำ</v>
      </c>
      <c r="AC48" s="30" t="str">
        <f t="shared" ref="AC48:BE48" si="262">IF(AC30&lt;0.5, "✅ D/E ต่ำ ความเสี่ยงต่ำ",
 IF(AC30&lt;=1, "⚠️ D/E ปานกลาง ต้องดู FCF ประกอบ",
 "❌ D/E สูง ระวังความเสี่ยงด้านเงินกู้"))</f>
        <v>⚠️ D/E ปานกลาง ต้องดู FCF ประกอบ</v>
      </c>
      <c r="AD48" s="30" t="str">
        <f t="shared" si="262"/>
        <v>✅ D/E ต่ำ ความเสี่ยงต่ำ</v>
      </c>
      <c r="AE48" s="30" t="str">
        <f t="shared" si="262"/>
        <v>❌ D/E สูง ระวังความเสี่ยงด้านเงินกู้</v>
      </c>
      <c r="AF48" s="30" t="str">
        <f t="shared" si="262"/>
        <v>✅ D/E ต่ำ ความเสี่ยงต่ำ</v>
      </c>
      <c r="AG48" s="30" t="str">
        <f t="shared" si="262"/>
        <v>✅ D/E ต่ำ ความเสี่ยงต่ำ</v>
      </c>
      <c r="AH48" s="30" t="str">
        <f t="shared" si="262"/>
        <v>✅ D/E ต่ำ ความเสี่ยงต่ำ</v>
      </c>
      <c r="AI48" s="30" t="str">
        <f t="shared" si="262"/>
        <v>❌ D/E สูง ระวังความเสี่ยงด้านเงินกู้</v>
      </c>
      <c r="AJ48" s="30" t="str">
        <f t="shared" si="262"/>
        <v>⚠️ D/E ปานกลาง ต้องดู FCF ประกอบ</v>
      </c>
      <c r="AK48" s="30" t="str">
        <f t="shared" si="262"/>
        <v>❌ D/E สูง ระวังความเสี่ยงด้านเงินกู้</v>
      </c>
      <c r="AL48" s="30" t="str">
        <f t="shared" si="262"/>
        <v>✅ D/E ต่ำ ความเสี่ยงต่ำ</v>
      </c>
      <c r="AM48" s="30" t="str">
        <f t="shared" si="262"/>
        <v>❌ D/E สูง ระวังความเสี่ยงด้านเงินกู้</v>
      </c>
      <c r="AN48" s="30" t="str">
        <f t="shared" si="262"/>
        <v>✅ D/E ต่ำ ความเสี่ยงต่ำ</v>
      </c>
      <c r="AO48" s="30" t="str">
        <f t="shared" si="262"/>
        <v>❌ D/E สูง ระวังความเสี่ยงด้านเงินกู้</v>
      </c>
      <c r="AP48" s="30" t="str">
        <f t="shared" si="262"/>
        <v>⚠️ D/E ปานกลาง ต้องดู FCF ประกอบ</v>
      </c>
      <c r="AQ48" s="30" t="str">
        <f t="shared" si="262"/>
        <v>⚠️ D/E ปานกลาง ต้องดู FCF ประกอบ</v>
      </c>
      <c r="AR48" s="30" t="str">
        <f t="shared" si="262"/>
        <v>❌ D/E สูง ระวังความเสี่ยงด้านเงินกู้</v>
      </c>
      <c r="AS48" s="30" t="str">
        <f t="shared" si="262"/>
        <v>❌ D/E สูง ระวังความเสี่ยงด้านเงินกู้</v>
      </c>
      <c r="AT48" s="30" t="str">
        <f t="shared" si="262"/>
        <v>❌ D/E สูง ระวังความเสี่ยงด้านเงินกู้</v>
      </c>
      <c r="AU48" s="30" t="str">
        <f t="shared" si="262"/>
        <v>⚠️ D/E ปานกลาง ต้องดู FCF ประกอบ</v>
      </c>
      <c r="AV48" s="30" t="str">
        <f t="shared" si="262"/>
        <v>⚠️ D/E ปานกลาง ต้องดู FCF ประกอบ</v>
      </c>
      <c r="AW48" s="30" t="str">
        <f t="shared" si="262"/>
        <v>❌ D/E สูง ระวังความเสี่ยงด้านเงินกู้</v>
      </c>
      <c r="AX48" s="30" t="str">
        <f t="shared" si="262"/>
        <v>❌ D/E สูง ระวังความเสี่ยงด้านเงินกู้</v>
      </c>
      <c r="AY48" s="30" t="str">
        <f t="shared" si="262"/>
        <v>❌ D/E สูง ระวังความเสี่ยงด้านเงินกู้</v>
      </c>
      <c r="AZ48" s="30" t="str">
        <f t="shared" si="262"/>
        <v>✅ D/E ต่ำ ความเสี่ยงต่ำ</v>
      </c>
      <c r="BA48" s="30" t="str">
        <f t="shared" si="262"/>
        <v>❌ D/E สูง ระวังความเสี่ยงด้านเงินกู้</v>
      </c>
      <c r="BB48" s="30" t="str">
        <f t="shared" si="262"/>
        <v>✅ D/E ต่ำ ความเสี่ยงต่ำ</v>
      </c>
      <c r="BC48" s="30" t="str">
        <f t="shared" si="262"/>
        <v>⚠️ D/E ปานกลาง ต้องดู FCF ประกอบ</v>
      </c>
      <c r="BD48" s="30" t="str">
        <f t="shared" si="262"/>
        <v>✅ D/E ต่ำ ความเสี่ยงต่ำ</v>
      </c>
      <c r="BE48" s="30" t="str">
        <f t="shared" si="262"/>
        <v>✅ D/E ต่ำ ความเสี่ยงต่ำ</v>
      </c>
      <c r="BF48" s="30" t="str">
        <f t="shared" ref="BF48:BK48" si="263">IF(BF30&lt;0.5, "✅ D/E ต่ำ ความเสี่ยงต่ำ",
 IF(BF30&lt;=1, "⚠️ D/E ปานกลาง ต้องดู FCF ประกอบ",
 "❌ D/E สูง ระวังความเสี่ยงด้านเงินกู้"))</f>
        <v>⚠️ D/E ปานกลาง ต้องดู FCF ประกอบ</v>
      </c>
      <c r="BG48" s="30" t="str">
        <f t="shared" si="263"/>
        <v>✅ D/E ต่ำ ความเสี่ยงต่ำ</v>
      </c>
      <c r="BH48" s="30" t="str">
        <f t="shared" si="263"/>
        <v>✅ D/E ต่ำ ความเสี่ยงต่ำ</v>
      </c>
      <c r="BI48" s="30" t="str">
        <f t="shared" si="263"/>
        <v>❌ D/E สูง ระวังความเสี่ยงด้านเงินกู้</v>
      </c>
      <c r="BJ48" s="30" t="str">
        <f t="shared" si="263"/>
        <v>✅ D/E ต่ำ ความเสี่ยงต่ำ</v>
      </c>
      <c r="BK48" s="30" t="str">
        <f t="shared" si="263"/>
        <v>✅ D/E ต่ำ ความเสี่ยงต่ำ</v>
      </c>
      <c r="BL48" s="30" t="str">
        <f t="shared" ref="BL48:DW48" si="264">IF(BL30&lt;0.5, "✅ D/E ต่ำ ความเสี่ยงต่ำ",
 IF(BL30&lt;=1, "⚠️ D/E ปานกลาง ต้องดู FCF ประกอบ",
 "❌ D/E สูง ระวังความเสี่ยงด้านเงินกู้"))</f>
        <v>✅ D/E ต่ำ ความเสี่ยงต่ำ</v>
      </c>
      <c r="BM48" s="30" t="str">
        <f t="shared" si="264"/>
        <v>✅ D/E ต่ำ ความเสี่ยงต่ำ</v>
      </c>
      <c r="BN48" s="30" t="str">
        <f t="shared" si="264"/>
        <v>✅ D/E ต่ำ ความเสี่ยงต่ำ</v>
      </c>
      <c r="BO48" s="30" t="str">
        <f t="shared" si="264"/>
        <v>✅ D/E ต่ำ ความเสี่ยงต่ำ</v>
      </c>
      <c r="BP48" s="30" t="str">
        <f t="shared" si="264"/>
        <v>⚠️ D/E ปานกลาง ต้องดู FCF ประกอบ</v>
      </c>
      <c r="BQ48" s="30" t="str">
        <f t="shared" si="264"/>
        <v>⚠️ D/E ปานกลาง ต้องดู FCF ประกอบ</v>
      </c>
      <c r="BR48" s="30" t="str">
        <f t="shared" si="264"/>
        <v>✅ D/E ต่ำ ความเสี่ยงต่ำ</v>
      </c>
      <c r="BS48" s="30" t="str">
        <f t="shared" si="264"/>
        <v>❌ D/E สูง ระวังความเสี่ยงด้านเงินกู้</v>
      </c>
      <c r="BT48" s="30" t="str">
        <f t="shared" si="264"/>
        <v>❌ D/E สูง ระวังความเสี่ยงด้านเงินกู้</v>
      </c>
      <c r="BU48" s="30" t="str">
        <f t="shared" si="264"/>
        <v>⚠️ D/E ปานกลาง ต้องดู FCF ประกอบ</v>
      </c>
      <c r="BV48" s="30" t="str">
        <f t="shared" si="264"/>
        <v>✅ D/E ต่ำ ความเสี่ยงต่ำ</v>
      </c>
      <c r="BW48" s="30" t="str">
        <f t="shared" si="264"/>
        <v>✅ D/E ต่ำ ความเสี่ยงต่ำ</v>
      </c>
      <c r="BX48" s="30" t="str">
        <f t="shared" si="264"/>
        <v>✅ D/E ต่ำ ความเสี่ยงต่ำ</v>
      </c>
      <c r="BY48" s="30" t="str">
        <f t="shared" si="264"/>
        <v>⚠️ D/E ปานกลาง ต้องดู FCF ประกอบ</v>
      </c>
      <c r="BZ48" s="30" t="str">
        <f t="shared" si="264"/>
        <v>❌ D/E สูง ระวังความเสี่ยงด้านเงินกู้</v>
      </c>
      <c r="CA48" s="30" t="str">
        <f t="shared" si="264"/>
        <v>✅ D/E ต่ำ ความเสี่ยงต่ำ</v>
      </c>
      <c r="CB48" s="30" t="str">
        <f t="shared" si="264"/>
        <v>❌ D/E สูง ระวังความเสี่ยงด้านเงินกู้</v>
      </c>
      <c r="CC48" s="30" t="str">
        <f t="shared" si="264"/>
        <v>⚠️ D/E ปานกลาง ต้องดู FCF ประกอบ</v>
      </c>
      <c r="CD48" s="30" t="str">
        <f t="shared" si="264"/>
        <v>✅ D/E ต่ำ ความเสี่ยงต่ำ</v>
      </c>
      <c r="CE48" s="30" t="str">
        <f t="shared" si="264"/>
        <v>✅ D/E ต่ำ ความเสี่ยงต่ำ</v>
      </c>
      <c r="CF48" s="30" t="str">
        <f t="shared" si="264"/>
        <v>❌ D/E สูง ระวังความเสี่ยงด้านเงินกู้</v>
      </c>
      <c r="CG48" s="30" t="str">
        <f t="shared" si="264"/>
        <v>❌ D/E สูง ระวังความเสี่ยงด้านเงินกู้</v>
      </c>
      <c r="CH48" s="30" t="str">
        <f t="shared" si="264"/>
        <v>❌ D/E สูง ระวังความเสี่ยงด้านเงินกู้</v>
      </c>
      <c r="CI48" s="30" t="str">
        <f t="shared" si="264"/>
        <v>❌ D/E สูง ระวังความเสี่ยงด้านเงินกู้</v>
      </c>
      <c r="CJ48" s="30" t="str">
        <f t="shared" si="264"/>
        <v>❌ D/E สูง ระวังความเสี่ยงด้านเงินกู้</v>
      </c>
      <c r="CK48" s="30" t="str">
        <f t="shared" si="264"/>
        <v>⚠️ D/E ปานกลาง ต้องดู FCF ประกอบ</v>
      </c>
      <c r="CL48" s="30" t="str">
        <f t="shared" si="264"/>
        <v>✅ D/E ต่ำ ความเสี่ยงต่ำ</v>
      </c>
      <c r="CM48" s="30" t="str">
        <f t="shared" si="264"/>
        <v>❌ D/E สูง ระวังความเสี่ยงด้านเงินกู้</v>
      </c>
      <c r="CN48" s="30" t="str">
        <f t="shared" si="264"/>
        <v>✅ D/E ต่ำ ความเสี่ยงต่ำ</v>
      </c>
      <c r="CO48" s="30" t="str">
        <f t="shared" si="264"/>
        <v>❌ D/E สูง ระวังความเสี่ยงด้านเงินกู้</v>
      </c>
      <c r="CP48" s="30" t="str">
        <f t="shared" si="264"/>
        <v>✅ D/E ต่ำ ความเสี่ยงต่ำ</v>
      </c>
      <c r="CQ48" s="30" t="str">
        <f t="shared" si="264"/>
        <v>❌ D/E สูง ระวังความเสี่ยงด้านเงินกู้</v>
      </c>
      <c r="CR48" s="30" t="str">
        <f t="shared" si="264"/>
        <v>✅ D/E ต่ำ ความเสี่ยงต่ำ</v>
      </c>
      <c r="CS48" s="30" t="str">
        <f t="shared" si="264"/>
        <v>✅ D/E ต่ำ ความเสี่ยงต่ำ</v>
      </c>
      <c r="CT48" s="30" t="str">
        <f t="shared" si="264"/>
        <v>✅ D/E ต่ำ ความเสี่ยงต่ำ</v>
      </c>
      <c r="CU48" s="30" t="str">
        <f t="shared" si="264"/>
        <v>❌ D/E สูง ระวังความเสี่ยงด้านเงินกู้</v>
      </c>
      <c r="CV48" s="30" t="str">
        <f t="shared" si="264"/>
        <v>❌ D/E สูง ระวังความเสี่ยงด้านเงินกู้</v>
      </c>
      <c r="CW48" s="30" t="str">
        <f t="shared" si="264"/>
        <v>✅ D/E ต่ำ ความเสี่ยงต่ำ</v>
      </c>
      <c r="CX48" s="30" t="str">
        <f t="shared" si="264"/>
        <v>✅ D/E ต่ำ ความเสี่ยงต่ำ</v>
      </c>
      <c r="CY48" s="30" t="str">
        <f t="shared" si="264"/>
        <v>⚠️ D/E ปานกลาง ต้องดู FCF ประกอบ</v>
      </c>
      <c r="CZ48" s="30" t="str">
        <f t="shared" si="264"/>
        <v>❌ D/E สูง ระวังความเสี่ยงด้านเงินกู้</v>
      </c>
      <c r="DA48" s="30" t="str">
        <f t="shared" si="264"/>
        <v>⚠️ D/E ปานกลาง ต้องดู FCF ประกอบ</v>
      </c>
      <c r="DB48" s="30" t="str">
        <f t="shared" si="264"/>
        <v>❌ D/E สูง ระวังความเสี่ยงด้านเงินกู้</v>
      </c>
      <c r="DC48" s="30" t="str">
        <f t="shared" si="264"/>
        <v>✅ D/E ต่ำ ความเสี่ยงต่ำ</v>
      </c>
      <c r="DD48" s="30" t="str">
        <f t="shared" si="264"/>
        <v>✅ D/E ต่ำ ความเสี่ยงต่ำ</v>
      </c>
      <c r="DE48" s="30" t="str">
        <f t="shared" si="264"/>
        <v>❌ D/E สูง ระวังความเสี่ยงด้านเงินกู้</v>
      </c>
      <c r="DF48" s="30" t="str">
        <f t="shared" si="264"/>
        <v>✅ D/E ต่ำ ความเสี่ยงต่ำ</v>
      </c>
      <c r="DG48" s="30" t="str">
        <f t="shared" si="264"/>
        <v>❌ D/E สูง ระวังความเสี่ยงด้านเงินกู้</v>
      </c>
      <c r="DH48" s="30" t="str">
        <f t="shared" si="264"/>
        <v>⚠️ D/E ปานกลาง ต้องดู FCF ประกอบ</v>
      </c>
      <c r="DI48" s="30" t="str">
        <f t="shared" si="264"/>
        <v>⚠️ D/E ปานกลาง ต้องดู FCF ประกอบ</v>
      </c>
      <c r="DJ48" s="30" t="str">
        <f t="shared" si="264"/>
        <v>✅ D/E ต่ำ ความเสี่ยงต่ำ</v>
      </c>
      <c r="DK48" s="30" t="str">
        <f t="shared" si="264"/>
        <v>✅ D/E ต่ำ ความเสี่ยงต่ำ</v>
      </c>
      <c r="DL48" s="30" t="str">
        <f t="shared" si="264"/>
        <v>❌ D/E สูง ระวังความเสี่ยงด้านเงินกู้</v>
      </c>
      <c r="DM48" s="30" t="str">
        <f t="shared" si="264"/>
        <v>⚠️ D/E ปานกลาง ต้องดู FCF ประกอบ</v>
      </c>
      <c r="DN48" s="30" t="str">
        <f t="shared" si="264"/>
        <v>⚠️ D/E ปานกลาง ต้องดู FCF ประกอบ</v>
      </c>
      <c r="DO48" s="30" t="str">
        <f t="shared" si="264"/>
        <v>⚠️ D/E ปานกลาง ต้องดู FCF ประกอบ</v>
      </c>
      <c r="DP48" s="30" t="str">
        <f t="shared" si="264"/>
        <v>❌ D/E สูง ระวังความเสี่ยงด้านเงินกู้</v>
      </c>
      <c r="DQ48" s="30" t="str">
        <f t="shared" si="264"/>
        <v>✅ D/E ต่ำ ความเสี่ยงต่ำ</v>
      </c>
      <c r="DR48" s="30" t="str">
        <f t="shared" si="264"/>
        <v>✅ D/E ต่ำ ความเสี่ยงต่ำ</v>
      </c>
      <c r="DS48" s="30" t="str">
        <f t="shared" si="264"/>
        <v>✅ D/E ต่ำ ความเสี่ยงต่ำ</v>
      </c>
      <c r="DT48" s="30" t="str">
        <f t="shared" si="264"/>
        <v>✅ D/E ต่ำ ความเสี่ยงต่ำ</v>
      </c>
      <c r="DU48" s="30" t="str">
        <f t="shared" si="264"/>
        <v>❌ D/E สูง ระวังความเสี่ยงด้านเงินกู้</v>
      </c>
      <c r="DV48" s="30" t="str">
        <f t="shared" si="264"/>
        <v>❌ D/E สูง ระวังความเสี่ยงด้านเงินกู้</v>
      </c>
      <c r="DW48" s="30" t="str">
        <f t="shared" si="264"/>
        <v>⚠️ D/E ปานกลาง ต้องดู FCF ประกอบ</v>
      </c>
      <c r="DX48" s="30" t="str">
        <f t="shared" ref="DX48:FA48" si="265">IF(DX30&lt;0.5, "✅ D/E ต่ำ ความเสี่ยงต่ำ",
 IF(DX30&lt;=1, "⚠️ D/E ปานกลาง ต้องดู FCF ประกอบ",
 "❌ D/E สูง ระวังความเสี่ยงด้านเงินกู้"))</f>
        <v>✅ D/E ต่ำ ความเสี่ยงต่ำ</v>
      </c>
      <c r="DY48" s="30" t="str">
        <f t="shared" si="265"/>
        <v>❌ D/E สูง ระวังความเสี่ยงด้านเงินกู้</v>
      </c>
      <c r="DZ48" s="30" t="str">
        <f t="shared" si="265"/>
        <v>⚠️ D/E ปานกลาง ต้องดู FCF ประกอบ</v>
      </c>
      <c r="EA48" s="30" t="str">
        <f t="shared" si="265"/>
        <v>⚠️ D/E ปานกลาง ต้องดู FCF ประกอบ</v>
      </c>
      <c r="EB48" s="30" t="str">
        <f t="shared" si="265"/>
        <v>⚠️ D/E ปานกลาง ต้องดู FCF ประกอบ</v>
      </c>
      <c r="EC48" s="30" t="str">
        <f t="shared" si="265"/>
        <v>✅ D/E ต่ำ ความเสี่ยงต่ำ</v>
      </c>
      <c r="ED48" s="30" t="str">
        <f t="shared" si="265"/>
        <v>❌ D/E สูง ระวังความเสี่ยงด้านเงินกู้</v>
      </c>
      <c r="EE48" s="30" t="str">
        <f t="shared" si="265"/>
        <v>✅ D/E ต่ำ ความเสี่ยงต่ำ</v>
      </c>
      <c r="EF48" s="30" t="str">
        <f t="shared" si="265"/>
        <v>✅ D/E ต่ำ ความเสี่ยงต่ำ</v>
      </c>
      <c r="EG48" s="30" t="str">
        <f t="shared" si="265"/>
        <v>⚠️ D/E ปานกลาง ต้องดู FCF ประกอบ</v>
      </c>
      <c r="EH48" s="30" t="str">
        <f t="shared" si="265"/>
        <v>⚠️ D/E ปานกลาง ต้องดู FCF ประกอบ</v>
      </c>
      <c r="EI48" s="30" t="str">
        <f t="shared" si="265"/>
        <v>✅ D/E ต่ำ ความเสี่ยงต่ำ</v>
      </c>
      <c r="EJ48" s="30" t="str">
        <f t="shared" si="265"/>
        <v>❌ D/E สูง ระวังความเสี่ยงด้านเงินกู้</v>
      </c>
      <c r="EK48" s="30" t="str">
        <f t="shared" si="265"/>
        <v>⚠️ D/E ปานกลาง ต้องดู FCF ประกอบ</v>
      </c>
      <c r="EL48" s="30" t="str">
        <f t="shared" si="265"/>
        <v>✅ D/E ต่ำ ความเสี่ยงต่ำ</v>
      </c>
      <c r="EM48" s="30" t="str">
        <f t="shared" si="265"/>
        <v>⚠️ D/E ปานกลาง ต้องดู FCF ประกอบ</v>
      </c>
      <c r="EN48" s="30" t="str">
        <f t="shared" si="265"/>
        <v>✅ D/E ต่ำ ความเสี่ยงต่ำ</v>
      </c>
      <c r="EO48" s="44" t="str">
        <f t="shared" si="265"/>
        <v>❌ D/E สูง ระวังความเสี่ยงด้านเงินกู้</v>
      </c>
      <c r="EZ48" s="41" t="str">
        <f t="shared" si="265"/>
        <v>✅ D/E ต่ำ ความเสี่ยงต่ำ</v>
      </c>
      <c r="FA48" s="30" t="str">
        <f t="shared" si="265"/>
        <v>✅ D/E ต่ำ ความเสี่ยงต่ำ</v>
      </c>
      <c r="FB48" s="21" t="str">
        <f t="shared" ref="FB48:HM48" si="266">IF(FB30&lt;0.5, "✅ D/E ต่ำ ความเสี่ยงต่ำ",
 IF(FB30&lt;=1, "⚠️ D/E ปานกลาง ต้องดู FCF ประกอบ",
 "❌ D/E สูง ระวังความเสี่ยงด้านเงินกู้"))</f>
        <v>✅ D/E ต่ำ ความเสี่ยงต่ำ</v>
      </c>
      <c r="FC48" s="21" t="str">
        <f t="shared" si="266"/>
        <v>✅ D/E ต่ำ ความเสี่ยงต่ำ</v>
      </c>
      <c r="FD48" s="21" t="str">
        <f t="shared" si="266"/>
        <v>❌ D/E สูง ระวังความเสี่ยงด้านเงินกู้</v>
      </c>
      <c r="FE48" s="21" t="str">
        <f t="shared" si="266"/>
        <v>❌ D/E สูง ระวังความเสี่ยงด้านเงินกู้</v>
      </c>
      <c r="FF48" s="21" t="str">
        <f t="shared" si="266"/>
        <v>✅ D/E ต่ำ ความเสี่ยงต่ำ</v>
      </c>
      <c r="FG48" s="21" t="str">
        <f t="shared" si="266"/>
        <v>✅ D/E ต่ำ ความเสี่ยงต่ำ</v>
      </c>
      <c r="FH48" s="21" t="str">
        <f t="shared" si="266"/>
        <v>⚠️ D/E ปานกลาง ต้องดู FCF ประกอบ</v>
      </c>
      <c r="FI48" s="21" t="str">
        <f t="shared" si="266"/>
        <v>❌ D/E สูง ระวังความเสี่ยงด้านเงินกู้</v>
      </c>
      <c r="FJ48" s="21" t="str">
        <f t="shared" si="266"/>
        <v>⚠️ D/E ปานกลาง ต้องดู FCF ประกอบ</v>
      </c>
      <c r="FK48" s="21" t="str">
        <f t="shared" si="266"/>
        <v>⚠️ D/E ปานกลาง ต้องดู FCF ประกอบ</v>
      </c>
      <c r="FL48" s="21" t="str">
        <f t="shared" si="266"/>
        <v>❌ D/E สูง ระวังความเสี่ยงด้านเงินกู้</v>
      </c>
      <c r="FM48" s="21" t="str">
        <f t="shared" si="266"/>
        <v>✅ D/E ต่ำ ความเสี่ยงต่ำ</v>
      </c>
      <c r="FN48" s="21" t="str">
        <f t="shared" si="266"/>
        <v>❌ D/E สูง ระวังความเสี่ยงด้านเงินกู้</v>
      </c>
      <c r="FO48" s="30" t="str">
        <f t="shared" si="266"/>
        <v>✅ D/E ต่ำ ความเสี่ยงต่ำ</v>
      </c>
      <c r="FP48" s="30" t="str">
        <f t="shared" si="266"/>
        <v>❌ D/E สูง ระวังความเสี่ยงด้านเงินกู้</v>
      </c>
      <c r="FQ48" s="30" t="str">
        <f t="shared" si="266"/>
        <v>✅ D/E ต่ำ ความเสี่ยงต่ำ</v>
      </c>
      <c r="FR48" s="30" t="str">
        <f t="shared" si="266"/>
        <v>✅ D/E ต่ำ ความเสี่ยงต่ำ</v>
      </c>
      <c r="FS48" s="30" t="str">
        <f t="shared" si="266"/>
        <v>⚠️ D/E ปานกลาง ต้องดู FCF ประกอบ</v>
      </c>
      <c r="FT48" s="30" t="str">
        <f t="shared" si="266"/>
        <v>❌ D/E สูง ระวังความเสี่ยงด้านเงินกู้</v>
      </c>
      <c r="FU48" s="30" t="str">
        <f t="shared" si="266"/>
        <v>⚠️ D/E ปานกลาง ต้องดู FCF ประกอบ</v>
      </c>
      <c r="FV48" s="30" t="str">
        <f t="shared" si="266"/>
        <v>✅ D/E ต่ำ ความเสี่ยงต่ำ</v>
      </c>
      <c r="FW48" s="30" t="str">
        <f t="shared" si="266"/>
        <v>⚠️ D/E ปานกลาง ต้องดู FCF ประกอบ</v>
      </c>
      <c r="FX48" s="30" t="str">
        <f t="shared" si="266"/>
        <v>❌ D/E สูง ระวังความเสี่ยงด้านเงินกู้</v>
      </c>
      <c r="FY48" s="30" t="str">
        <f t="shared" si="266"/>
        <v>❌ D/E สูง ระวังความเสี่ยงด้านเงินกู้</v>
      </c>
      <c r="FZ48" s="30" t="str">
        <f t="shared" si="266"/>
        <v>✅ D/E ต่ำ ความเสี่ยงต่ำ</v>
      </c>
      <c r="GA48" s="30" t="str">
        <f t="shared" si="266"/>
        <v>✅ D/E ต่ำ ความเสี่ยงต่ำ</v>
      </c>
      <c r="GB48" s="30" t="str">
        <f t="shared" si="266"/>
        <v>✅ D/E ต่ำ ความเสี่ยงต่ำ</v>
      </c>
      <c r="GC48" s="30" t="str">
        <f t="shared" si="266"/>
        <v>❌ D/E สูง ระวังความเสี่ยงด้านเงินกู้</v>
      </c>
      <c r="GD48" s="30" t="str">
        <f t="shared" si="266"/>
        <v>✅ D/E ต่ำ ความเสี่ยงต่ำ</v>
      </c>
      <c r="GE48" s="30" t="str">
        <f t="shared" si="266"/>
        <v>✅ D/E ต่ำ ความเสี่ยงต่ำ</v>
      </c>
      <c r="GF48" s="30" t="str">
        <f t="shared" si="266"/>
        <v>✅ D/E ต่ำ ความเสี่ยงต่ำ</v>
      </c>
      <c r="GG48" s="30" t="str">
        <f t="shared" si="266"/>
        <v>❌ D/E สูง ระวังความเสี่ยงด้านเงินกู้</v>
      </c>
      <c r="GH48" s="30" t="str">
        <f t="shared" si="266"/>
        <v>⚠️ D/E ปานกลาง ต้องดู FCF ประกอบ</v>
      </c>
      <c r="GI48" s="30" t="str">
        <f t="shared" si="266"/>
        <v>❌ D/E สูง ระวังความเสี่ยงด้านเงินกู้</v>
      </c>
      <c r="GJ48" s="30" t="str">
        <f t="shared" si="266"/>
        <v>✅ D/E ต่ำ ความเสี่ยงต่ำ</v>
      </c>
      <c r="GK48" s="30" t="str">
        <f t="shared" si="266"/>
        <v>❌ D/E สูง ระวังความเสี่ยงด้านเงินกู้</v>
      </c>
      <c r="GL48" s="30" t="str">
        <f t="shared" si="266"/>
        <v>❌ D/E สูง ระวังความเสี่ยงด้านเงินกู้</v>
      </c>
      <c r="GM48" s="30" t="str">
        <f t="shared" si="266"/>
        <v>✅ D/E ต่ำ ความเสี่ยงต่ำ</v>
      </c>
      <c r="GN48" s="30" t="str">
        <f t="shared" si="266"/>
        <v>⚠️ D/E ปานกลาง ต้องดู FCF ประกอบ</v>
      </c>
      <c r="GO48" s="30" t="str">
        <f t="shared" si="266"/>
        <v>⚠️ D/E ปานกลาง ต้องดู FCF ประกอบ</v>
      </c>
      <c r="GP48" s="30" t="str">
        <f t="shared" si="266"/>
        <v>❌ D/E สูง ระวังความเสี่ยงด้านเงินกู้</v>
      </c>
      <c r="GQ48" s="30" t="str">
        <f t="shared" si="266"/>
        <v>✅ D/E ต่ำ ความเสี่ยงต่ำ</v>
      </c>
      <c r="GR48" s="30" t="str">
        <f t="shared" si="266"/>
        <v>⚠️ D/E ปานกลาง ต้องดู FCF ประกอบ</v>
      </c>
      <c r="GS48" s="30" t="str">
        <f t="shared" si="266"/>
        <v>⚠️ D/E ปานกลาง ต้องดู FCF ประกอบ</v>
      </c>
      <c r="GT48" s="30" t="str">
        <f t="shared" si="266"/>
        <v>✅ D/E ต่ำ ความเสี่ยงต่ำ</v>
      </c>
      <c r="GU48" s="30" t="str">
        <f t="shared" si="266"/>
        <v>✅ D/E ต่ำ ความเสี่ยงต่ำ</v>
      </c>
      <c r="GV48" s="30" t="str">
        <f t="shared" si="266"/>
        <v>✅ D/E ต่ำ ความเสี่ยงต่ำ</v>
      </c>
      <c r="GW48" s="30" t="str">
        <f t="shared" si="266"/>
        <v>✅ D/E ต่ำ ความเสี่ยงต่ำ</v>
      </c>
      <c r="GX48" s="30" t="str">
        <f t="shared" si="266"/>
        <v>✅ D/E ต่ำ ความเสี่ยงต่ำ</v>
      </c>
      <c r="GY48" s="30" t="str">
        <f t="shared" si="266"/>
        <v>✅ D/E ต่ำ ความเสี่ยงต่ำ</v>
      </c>
      <c r="GZ48" s="30" t="str">
        <f t="shared" si="266"/>
        <v>✅ D/E ต่ำ ความเสี่ยงต่ำ</v>
      </c>
      <c r="HA48" s="30" t="str">
        <f t="shared" si="266"/>
        <v>✅ D/E ต่ำ ความเสี่ยงต่ำ</v>
      </c>
      <c r="HB48" s="30" t="str">
        <f t="shared" si="266"/>
        <v>⚠️ D/E ปานกลาง ต้องดู FCF ประกอบ</v>
      </c>
      <c r="HC48" s="30" t="str">
        <f t="shared" si="266"/>
        <v>✅ D/E ต่ำ ความเสี่ยงต่ำ</v>
      </c>
      <c r="HD48" s="30" t="str">
        <f t="shared" si="266"/>
        <v>⚠️ D/E ปานกลาง ต้องดู FCF ประกอบ</v>
      </c>
      <c r="HE48" s="30" t="str">
        <f t="shared" si="266"/>
        <v>⚠️ D/E ปานกลาง ต้องดู FCF ประกอบ</v>
      </c>
      <c r="HF48" s="30" t="str">
        <f t="shared" si="266"/>
        <v>⚠️ D/E ปานกลาง ต้องดู FCF ประกอบ</v>
      </c>
      <c r="HG48" s="30" t="str">
        <f t="shared" si="266"/>
        <v>❌ D/E สูง ระวังความเสี่ยงด้านเงินกู้</v>
      </c>
      <c r="HH48" s="30" t="str">
        <f t="shared" si="266"/>
        <v>⚠️ D/E ปานกลาง ต้องดู FCF ประกอบ</v>
      </c>
      <c r="HI48" s="30" t="str">
        <f t="shared" si="266"/>
        <v>✅ D/E ต่ำ ความเสี่ยงต่ำ</v>
      </c>
      <c r="HJ48" s="30" t="str">
        <f t="shared" si="266"/>
        <v>✅ D/E ต่ำ ความเสี่ยงต่ำ</v>
      </c>
      <c r="HK48" s="30" t="str">
        <f t="shared" si="266"/>
        <v>✅ D/E ต่ำ ความเสี่ยงต่ำ</v>
      </c>
      <c r="HL48" s="30" t="str">
        <f t="shared" si="266"/>
        <v>⚠️ D/E ปานกลาง ต้องดู FCF ประกอบ</v>
      </c>
      <c r="HM48" s="21" t="str">
        <f t="shared" si="266"/>
        <v>⚠️ D/E ปานกลาง ต้องดู FCF ประกอบ</v>
      </c>
      <c r="HN48" s="21" t="str">
        <f t="shared" ref="HN48:HP48" si="267">IF(HN30&lt;0.5, "✅ D/E ต่ำ ความเสี่ยงต่ำ",
 IF(HN30&lt;=1, "⚠️ D/E ปานกลาง ต้องดู FCF ประกอบ",
 "❌ D/E สูง ระวังความเสี่ยงด้านเงินกู้"))</f>
        <v>❌ D/E สูง ระวังความเสี่ยงด้านเงินกู้</v>
      </c>
      <c r="HO48" s="21" t="str">
        <f t="shared" si="267"/>
        <v>❌ D/E สูง ระวังความเสี่ยงด้านเงินกู้</v>
      </c>
      <c r="HP48" s="30" t="str">
        <f t="shared" si="267"/>
        <v>✅ D/E ต่ำ ความเสี่ยงต่ำ</v>
      </c>
      <c r="HQ48" s="30" t="str">
        <f t="shared" ref="HQ48:HV48" si="268">IF(HQ30&lt;0.5, "✅ D/E ต่ำ ความเสี่ยงต่ำ",
 IF(HQ30&lt;=1, "⚠️ D/E ปานกลาง ต้องดู FCF ประกอบ",
 "❌ D/E สูง ระวังความเสี่ยงด้านเงินกู้"))</f>
        <v>✅ D/E ต่ำ ความเสี่ยงต่ำ</v>
      </c>
      <c r="HR48" s="30" t="str">
        <f t="shared" si="268"/>
        <v>⚠️ D/E ปานกลาง ต้องดู FCF ประกอบ</v>
      </c>
      <c r="HS48" s="30" t="str">
        <f t="shared" si="268"/>
        <v>✅ D/E ต่ำ ความเสี่ยงต่ำ</v>
      </c>
      <c r="HT48" s="30" t="str">
        <f t="shared" si="268"/>
        <v>✅ D/E ต่ำ ความเสี่ยงต่ำ</v>
      </c>
      <c r="HU48" s="30" t="str">
        <f t="shared" si="268"/>
        <v>✅ D/E ต่ำ ความเสี่ยงต่ำ</v>
      </c>
      <c r="HV48" s="30" t="str">
        <f t="shared" si="268"/>
        <v>✅ D/E ต่ำ ความเสี่ยงต่ำ</v>
      </c>
      <c r="HW48" s="30" t="str">
        <f t="shared" ref="HW48:HX48" si="269">IF(HW30&lt;0.5, "✅ D/E ต่ำ ความเสี่ยงต่ำ",
 IF(HW30&lt;=1, "⚠️ D/E ปานกลาง ต้องดู FCF ประกอบ",
 "❌ D/E สูง ระวังความเสี่ยงด้านเงินกู้"))</f>
        <v>✅ D/E ต่ำ ความเสี่ยงต่ำ</v>
      </c>
      <c r="HX48" s="30" t="str">
        <f t="shared" ref="HX48:HY48" si="270">IF(HX30&lt;0.5, "✅ D/E ต่ำ ความเสี่ยงต่ำ",
 IF(HX30&lt;=1, "⚠️ D/E ปานกลาง ต้องดู FCF ประกอบ",
 "❌ D/E สูง ระวังความเสี่ยงด้านเงินกู้"))</f>
        <v>✅ D/E ต่ำ ความเสี่ยงต่ำ</v>
      </c>
      <c r="HY48" s="30" t="str">
        <f t="shared" si="270"/>
        <v>❌ D/E สูง ระวังความเสี่ยงด้านเงินกู้</v>
      </c>
    </row>
    <row r="49" spans="1:233" ht="24" customHeight="1" x14ac:dyDescent="0.5">
      <c r="A49" s="51"/>
      <c r="B49" s="22" t="str">
        <f t="shared" ref="B49:C49" si="271">IF(B29&gt;B16, "✅ ROE &gt; CoE = เพิ่มมูลค่า", "❌ ROE &lt; CoE = ไม่สร้างมูลค่า")</f>
        <v>❌ ROE &lt; CoE = ไม่สร้างมูลค่า</v>
      </c>
      <c r="C49" s="30" t="str">
        <f t="shared" si="271"/>
        <v>✅ ROE &gt; CoE = เพิ่มมูลค่า</v>
      </c>
      <c r="D49" s="30" t="str">
        <f t="shared" ref="D49:AB49" si="272">IF(D29&gt;D16, "✅ ROE &gt; CoE = เพิ่มมูลค่า", "❌ ROE &lt; CoE = ไม่สร้างมูลค่า")</f>
        <v>✅ ROE &gt; CoE = เพิ่มมูลค่า</v>
      </c>
      <c r="E49" s="30" t="str">
        <f t="shared" si="272"/>
        <v>❌ ROE &lt; CoE = ไม่สร้างมูลค่า</v>
      </c>
      <c r="F49" s="30" t="str">
        <f t="shared" si="272"/>
        <v>❌ ROE &lt; CoE = ไม่สร้างมูลค่า</v>
      </c>
      <c r="G49" s="30" t="str">
        <f t="shared" si="272"/>
        <v>❌ ROE &lt; CoE = ไม่สร้างมูลค่า</v>
      </c>
      <c r="H49" s="30" t="str">
        <f t="shared" si="272"/>
        <v>✅ ROE &gt; CoE = เพิ่มมูลค่า</v>
      </c>
      <c r="I49" s="30" t="str">
        <f t="shared" si="272"/>
        <v>✅ ROE &gt; CoE = เพิ่มมูลค่า</v>
      </c>
      <c r="J49" s="30" t="str">
        <f t="shared" si="272"/>
        <v>✅ ROE &gt; CoE = เพิ่มมูลค่า</v>
      </c>
      <c r="K49" s="30" t="str">
        <f t="shared" si="272"/>
        <v>✅ ROE &gt; CoE = เพิ่มมูลค่า</v>
      </c>
      <c r="L49" s="30" t="str">
        <f t="shared" si="272"/>
        <v>✅ ROE &gt; CoE = เพิ่มมูลค่า</v>
      </c>
      <c r="M49" s="30" t="str">
        <f t="shared" si="272"/>
        <v>✅ ROE &gt; CoE = เพิ่มมูลค่า</v>
      </c>
      <c r="N49" s="30" t="str">
        <f t="shared" si="272"/>
        <v>✅ ROE &gt; CoE = เพิ่มมูลค่า</v>
      </c>
      <c r="O49" s="30" t="str">
        <f t="shared" si="272"/>
        <v>✅ ROE &gt; CoE = เพิ่มมูลค่า</v>
      </c>
      <c r="P49" s="30" t="str">
        <f t="shared" si="272"/>
        <v>✅ ROE &gt; CoE = เพิ่มมูลค่า</v>
      </c>
      <c r="Q49" s="30" t="str">
        <f t="shared" si="272"/>
        <v>✅ ROE &gt; CoE = เพิ่มมูลค่า</v>
      </c>
      <c r="R49" s="30" t="str">
        <f t="shared" si="272"/>
        <v>✅ ROE &gt; CoE = เพิ่มมูลค่า</v>
      </c>
      <c r="S49" s="30" t="str">
        <f t="shared" si="272"/>
        <v>✅ ROE &gt; CoE = เพิ่มมูลค่า</v>
      </c>
      <c r="T49" s="30" t="str">
        <f t="shared" si="272"/>
        <v>✅ ROE &gt; CoE = เพิ่มมูลค่า</v>
      </c>
      <c r="U49" s="30" t="str">
        <f t="shared" si="272"/>
        <v>✅ ROE &gt; CoE = เพิ่มมูลค่า</v>
      </c>
      <c r="V49" s="30" t="str">
        <f t="shared" si="272"/>
        <v>✅ ROE &gt; CoE = เพิ่มมูลค่า</v>
      </c>
      <c r="W49" s="30" t="str">
        <f t="shared" si="272"/>
        <v>✅ ROE &gt; CoE = เพิ่มมูลค่า</v>
      </c>
      <c r="X49" s="30" t="str">
        <f t="shared" si="272"/>
        <v>✅ ROE &gt; CoE = เพิ่มมูลค่า</v>
      </c>
      <c r="Y49" s="30" t="str">
        <f t="shared" si="272"/>
        <v>✅ ROE &gt; CoE = เพิ่มมูลค่า</v>
      </c>
      <c r="Z49" s="30" t="str">
        <f t="shared" si="272"/>
        <v>✅ ROE &gt; CoE = เพิ่มมูลค่า</v>
      </c>
      <c r="AA49" s="30" t="str">
        <f t="shared" si="272"/>
        <v>✅ ROE &gt; CoE = เพิ่มมูลค่า</v>
      </c>
      <c r="AB49" s="30" t="str">
        <f t="shared" si="272"/>
        <v>✅ ROE &gt; CoE = เพิ่มมูลค่า</v>
      </c>
      <c r="AC49" s="30" t="str">
        <f t="shared" ref="AC49:BE49" si="273">IF(AC29&gt;AC16, "✅ ROE &gt; CoE = เพิ่มมูลค่า", "❌ ROE &lt; CoE = ไม่สร้างมูลค่า")</f>
        <v>✅ ROE &gt; CoE = เพิ่มมูลค่า</v>
      </c>
      <c r="AD49" s="30" t="str">
        <f t="shared" si="273"/>
        <v>✅ ROE &gt; CoE = เพิ่มมูลค่า</v>
      </c>
      <c r="AE49" s="30" t="str">
        <f t="shared" si="273"/>
        <v>✅ ROE &gt; CoE = เพิ่มมูลค่า</v>
      </c>
      <c r="AF49" s="30" t="str">
        <f t="shared" si="273"/>
        <v>✅ ROE &gt; CoE = เพิ่มมูลค่า</v>
      </c>
      <c r="AG49" s="30" t="str">
        <f t="shared" si="273"/>
        <v>✅ ROE &gt; CoE = เพิ่มมูลค่า</v>
      </c>
      <c r="AH49" s="30" t="str">
        <f t="shared" si="273"/>
        <v>✅ ROE &gt; CoE = เพิ่มมูลค่า</v>
      </c>
      <c r="AI49" s="30" t="str">
        <f t="shared" si="273"/>
        <v>✅ ROE &gt; CoE = เพิ่มมูลค่า</v>
      </c>
      <c r="AJ49" s="30" t="str">
        <f t="shared" si="273"/>
        <v>✅ ROE &gt; CoE = เพิ่มมูลค่า</v>
      </c>
      <c r="AK49" s="30" t="str">
        <f t="shared" si="273"/>
        <v>✅ ROE &gt; CoE = เพิ่มมูลค่า</v>
      </c>
      <c r="AL49" s="30" t="str">
        <f t="shared" si="273"/>
        <v>❌ ROE &lt; CoE = ไม่สร้างมูลค่า</v>
      </c>
      <c r="AM49" s="30" t="str">
        <f t="shared" si="273"/>
        <v>✅ ROE &gt; CoE = เพิ่มมูลค่า</v>
      </c>
      <c r="AN49" s="30" t="str">
        <f t="shared" si="273"/>
        <v>✅ ROE &gt; CoE = เพิ่มมูลค่า</v>
      </c>
      <c r="AO49" s="30" t="str">
        <f t="shared" si="273"/>
        <v>✅ ROE &gt; CoE = เพิ่มมูลค่า</v>
      </c>
      <c r="AP49" s="30" t="str">
        <f t="shared" si="273"/>
        <v>✅ ROE &gt; CoE = เพิ่มมูลค่า</v>
      </c>
      <c r="AQ49" s="30" t="str">
        <f t="shared" si="273"/>
        <v>✅ ROE &gt; CoE = เพิ่มมูลค่า</v>
      </c>
      <c r="AR49" s="30" t="str">
        <f t="shared" si="273"/>
        <v>✅ ROE &gt; CoE = เพิ่มมูลค่า</v>
      </c>
      <c r="AS49" s="30" t="str">
        <f t="shared" si="273"/>
        <v>✅ ROE &gt; CoE = เพิ่มมูลค่า</v>
      </c>
      <c r="AT49" s="30" t="str">
        <f t="shared" si="273"/>
        <v>✅ ROE &gt; CoE = เพิ่มมูลค่า</v>
      </c>
      <c r="AU49" s="30" t="str">
        <f t="shared" si="273"/>
        <v>✅ ROE &gt; CoE = เพิ่มมูลค่า</v>
      </c>
      <c r="AV49" s="30" t="str">
        <f t="shared" si="273"/>
        <v>✅ ROE &gt; CoE = เพิ่มมูลค่า</v>
      </c>
      <c r="AW49" s="30" t="str">
        <f t="shared" si="273"/>
        <v>❌ ROE &lt; CoE = ไม่สร้างมูลค่า</v>
      </c>
      <c r="AX49" s="30" t="str">
        <f t="shared" si="273"/>
        <v>✅ ROE &gt; CoE = เพิ่มมูลค่า</v>
      </c>
      <c r="AY49" s="30" t="str">
        <f t="shared" si="273"/>
        <v>✅ ROE &gt; CoE = เพิ่มมูลค่า</v>
      </c>
      <c r="AZ49" s="30" t="str">
        <f t="shared" si="273"/>
        <v>❌ ROE &lt; CoE = ไม่สร้างมูลค่า</v>
      </c>
      <c r="BA49" s="30" t="str">
        <f t="shared" si="273"/>
        <v>✅ ROE &gt; CoE = เพิ่มมูลค่า</v>
      </c>
      <c r="BB49" s="30" t="str">
        <f t="shared" si="273"/>
        <v>✅ ROE &gt; CoE = เพิ่มมูลค่า</v>
      </c>
      <c r="BC49" s="30" t="str">
        <f t="shared" si="273"/>
        <v>✅ ROE &gt; CoE = เพิ่มมูลค่า</v>
      </c>
      <c r="BD49" s="30" t="str">
        <f t="shared" si="273"/>
        <v>✅ ROE &gt; CoE = เพิ่มมูลค่า</v>
      </c>
      <c r="BE49" s="30" t="str">
        <f t="shared" si="273"/>
        <v>✅ ROE &gt; CoE = เพิ่มมูลค่า</v>
      </c>
      <c r="BF49" s="30" t="str">
        <f t="shared" ref="BF49:BK49" si="274">IF(BF29&gt;BF16, "✅ ROE &gt; CoE = เพิ่มมูลค่า", "❌ ROE &lt; CoE = ไม่สร้างมูลค่า")</f>
        <v>✅ ROE &gt; CoE = เพิ่มมูลค่า</v>
      </c>
      <c r="BG49" s="30" t="str">
        <f t="shared" si="274"/>
        <v>❌ ROE &lt; CoE = ไม่สร้างมูลค่า</v>
      </c>
      <c r="BH49" s="30" t="str">
        <f t="shared" si="274"/>
        <v>✅ ROE &gt; CoE = เพิ่มมูลค่า</v>
      </c>
      <c r="BI49" s="30" t="str">
        <f t="shared" si="274"/>
        <v>✅ ROE &gt; CoE = เพิ่มมูลค่า</v>
      </c>
      <c r="BJ49" s="30" t="str">
        <f t="shared" si="274"/>
        <v>✅ ROE &gt; CoE = เพิ่มมูลค่า</v>
      </c>
      <c r="BK49" s="30" t="str">
        <f t="shared" si="274"/>
        <v>✅ ROE &gt; CoE = เพิ่มมูลค่า</v>
      </c>
      <c r="BL49" s="30" t="str">
        <f t="shared" ref="BL49:DW49" si="275">IF(BL29&gt;BL16, "✅ ROE &gt; CoE = เพิ่มมูลค่า", "❌ ROE &lt; CoE = ไม่สร้างมูลค่า")</f>
        <v>✅ ROE &gt; CoE = เพิ่มมูลค่า</v>
      </c>
      <c r="BM49" s="30" t="str">
        <f t="shared" si="275"/>
        <v>✅ ROE &gt; CoE = เพิ่มมูลค่า</v>
      </c>
      <c r="BN49" s="30" t="str">
        <f t="shared" si="275"/>
        <v>✅ ROE &gt; CoE = เพิ่มมูลค่า</v>
      </c>
      <c r="BO49" s="30" t="str">
        <f t="shared" si="275"/>
        <v>✅ ROE &gt; CoE = เพิ่มมูลค่า</v>
      </c>
      <c r="BP49" s="30" t="str">
        <f t="shared" si="275"/>
        <v>✅ ROE &gt; CoE = เพิ่มมูลค่า</v>
      </c>
      <c r="BQ49" s="30" t="str">
        <f t="shared" si="275"/>
        <v>❌ ROE &lt; CoE = ไม่สร้างมูลค่า</v>
      </c>
      <c r="BR49" s="30" t="str">
        <f t="shared" si="275"/>
        <v>❌ ROE &lt; CoE = ไม่สร้างมูลค่า</v>
      </c>
      <c r="BS49" s="30" t="str">
        <f t="shared" si="275"/>
        <v>✅ ROE &gt; CoE = เพิ่มมูลค่า</v>
      </c>
      <c r="BT49" s="30" t="str">
        <f t="shared" si="275"/>
        <v>✅ ROE &gt; CoE = เพิ่มมูลค่า</v>
      </c>
      <c r="BU49" s="30" t="str">
        <f t="shared" si="275"/>
        <v>✅ ROE &gt; CoE = เพิ่มมูลค่า</v>
      </c>
      <c r="BV49" s="30" t="str">
        <f t="shared" si="275"/>
        <v>✅ ROE &gt; CoE = เพิ่มมูลค่า</v>
      </c>
      <c r="BW49" s="30" t="str">
        <f t="shared" si="275"/>
        <v>✅ ROE &gt; CoE = เพิ่มมูลค่า</v>
      </c>
      <c r="BX49" s="30" t="str">
        <f t="shared" si="275"/>
        <v>✅ ROE &gt; CoE = เพิ่มมูลค่า</v>
      </c>
      <c r="BY49" s="30" t="str">
        <f t="shared" si="275"/>
        <v>✅ ROE &gt; CoE = เพิ่มมูลค่า</v>
      </c>
      <c r="BZ49" s="30" t="str">
        <f t="shared" si="275"/>
        <v>✅ ROE &gt; CoE = เพิ่มมูลค่า</v>
      </c>
      <c r="CA49" s="30" t="str">
        <f t="shared" si="275"/>
        <v>✅ ROE &gt; CoE = เพิ่มมูลค่า</v>
      </c>
      <c r="CB49" s="30" t="str">
        <f t="shared" si="275"/>
        <v>✅ ROE &gt; CoE = เพิ่มมูลค่า</v>
      </c>
      <c r="CC49" s="30" t="str">
        <f t="shared" si="275"/>
        <v>✅ ROE &gt; CoE = เพิ่มมูลค่า</v>
      </c>
      <c r="CD49" s="30" t="str">
        <f t="shared" si="275"/>
        <v>✅ ROE &gt; CoE = เพิ่มมูลค่า</v>
      </c>
      <c r="CE49" s="30" t="str">
        <f t="shared" si="275"/>
        <v>❌ ROE &lt; CoE = ไม่สร้างมูลค่า</v>
      </c>
      <c r="CF49" s="30" t="str">
        <f t="shared" si="275"/>
        <v>✅ ROE &gt; CoE = เพิ่มมูลค่า</v>
      </c>
      <c r="CG49" s="30" t="str">
        <f t="shared" si="275"/>
        <v>✅ ROE &gt; CoE = เพิ่มมูลค่า</v>
      </c>
      <c r="CH49" s="30" t="str">
        <f t="shared" si="275"/>
        <v>❌ ROE &lt; CoE = ไม่สร้างมูลค่า</v>
      </c>
      <c r="CI49" s="30" t="str">
        <f t="shared" si="275"/>
        <v>✅ ROE &gt; CoE = เพิ่มมูลค่า</v>
      </c>
      <c r="CJ49" s="30" t="str">
        <f t="shared" si="275"/>
        <v>✅ ROE &gt; CoE = เพิ่มมูลค่า</v>
      </c>
      <c r="CK49" s="30" t="str">
        <f t="shared" si="275"/>
        <v>✅ ROE &gt; CoE = เพิ่มมูลค่า</v>
      </c>
      <c r="CL49" s="30" t="str">
        <f t="shared" si="275"/>
        <v>❌ ROE &lt; CoE = ไม่สร้างมูลค่า</v>
      </c>
      <c r="CM49" s="30" t="str">
        <f t="shared" si="275"/>
        <v>✅ ROE &gt; CoE = เพิ่มมูลค่า</v>
      </c>
      <c r="CN49" s="30" t="str">
        <f t="shared" si="275"/>
        <v>✅ ROE &gt; CoE = เพิ่มมูลค่า</v>
      </c>
      <c r="CO49" s="30" t="str">
        <f t="shared" si="275"/>
        <v>✅ ROE &gt; CoE = เพิ่มมูลค่า</v>
      </c>
      <c r="CP49" s="30" t="str">
        <f t="shared" si="275"/>
        <v>✅ ROE &gt; CoE = เพิ่มมูลค่า</v>
      </c>
      <c r="CQ49" s="30" t="str">
        <f t="shared" si="275"/>
        <v>✅ ROE &gt; CoE = เพิ่มมูลค่า</v>
      </c>
      <c r="CR49" s="30" t="str">
        <f t="shared" si="275"/>
        <v>❌ ROE &lt; CoE = ไม่สร้างมูลค่า</v>
      </c>
      <c r="CS49" s="30" t="str">
        <f t="shared" si="275"/>
        <v>✅ ROE &gt; CoE = เพิ่มมูลค่า</v>
      </c>
      <c r="CT49" s="30" t="str">
        <f t="shared" si="275"/>
        <v>✅ ROE &gt; CoE = เพิ่มมูลค่า</v>
      </c>
      <c r="CU49" s="30" t="str">
        <f t="shared" si="275"/>
        <v>✅ ROE &gt; CoE = เพิ่มมูลค่า</v>
      </c>
      <c r="CV49" s="30" t="str">
        <f t="shared" si="275"/>
        <v>✅ ROE &gt; CoE = เพิ่มมูลค่า</v>
      </c>
      <c r="CW49" s="30" t="str">
        <f t="shared" si="275"/>
        <v>✅ ROE &gt; CoE = เพิ่มมูลค่า</v>
      </c>
      <c r="CX49" s="30" t="str">
        <f t="shared" si="275"/>
        <v>✅ ROE &gt; CoE = เพิ่มมูลค่า</v>
      </c>
      <c r="CY49" s="30" t="str">
        <f t="shared" si="275"/>
        <v>✅ ROE &gt; CoE = เพิ่มมูลค่า</v>
      </c>
      <c r="CZ49" s="30" t="str">
        <f t="shared" si="275"/>
        <v>✅ ROE &gt; CoE = เพิ่มมูลค่า</v>
      </c>
      <c r="DA49" s="30" t="str">
        <f t="shared" si="275"/>
        <v>✅ ROE &gt; CoE = เพิ่มมูลค่า</v>
      </c>
      <c r="DB49" s="30" t="str">
        <f t="shared" si="275"/>
        <v>✅ ROE &gt; CoE = เพิ่มมูลค่า</v>
      </c>
      <c r="DC49" s="30" t="str">
        <f t="shared" si="275"/>
        <v>❌ ROE &lt; CoE = ไม่สร้างมูลค่า</v>
      </c>
      <c r="DD49" s="30" t="str">
        <f t="shared" si="275"/>
        <v>❌ ROE &lt; CoE = ไม่สร้างมูลค่า</v>
      </c>
      <c r="DE49" s="30" t="str">
        <f t="shared" si="275"/>
        <v>✅ ROE &gt; CoE = เพิ่มมูลค่า</v>
      </c>
      <c r="DF49" s="30" t="str">
        <f t="shared" si="275"/>
        <v>❌ ROE &lt; CoE = ไม่สร้างมูลค่า</v>
      </c>
      <c r="DG49" s="30" t="str">
        <f t="shared" si="275"/>
        <v>✅ ROE &gt; CoE = เพิ่มมูลค่า</v>
      </c>
      <c r="DH49" s="30" t="str">
        <f t="shared" si="275"/>
        <v>✅ ROE &gt; CoE = เพิ่มมูลค่า</v>
      </c>
      <c r="DI49" s="30" t="str">
        <f t="shared" si="275"/>
        <v>✅ ROE &gt; CoE = เพิ่มมูลค่า</v>
      </c>
      <c r="DJ49" s="30" t="str">
        <f t="shared" si="275"/>
        <v>✅ ROE &gt; CoE = เพิ่มมูลค่า</v>
      </c>
      <c r="DK49" s="30" t="str">
        <f t="shared" si="275"/>
        <v>✅ ROE &gt; CoE = เพิ่มมูลค่า</v>
      </c>
      <c r="DL49" s="30" t="str">
        <f t="shared" si="275"/>
        <v>✅ ROE &gt; CoE = เพิ่มมูลค่า</v>
      </c>
      <c r="DM49" s="30" t="str">
        <f t="shared" si="275"/>
        <v>✅ ROE &gt; CoE = เพิ่มมูลค่า</v>
      </c>
      <c r="DN49" s="30" t="str">
        <f t="shared" si="275"/>
        <v>✅ ROE &gt; CoE = เพิ่มมูลค่า</v>
      </c>
      <c r="DO49" s="30" t="str">
        <f t="shared" si="275"/>
        <v>✅ ROE &gt; CoE = เพิ่มมูลค่า</v>
      </c>
      <c r="DP49" s="30" t="str">
        <f t="shared" si="275"/>
        <v>✅ ROE &gt; CoE = เพิ่มมูลค่า</v>
      </c>
      <c r="DQ49" s="30" t="str">
        <f t="shared" si="275"/>
        <v>❌ ROE &lt; CoE = ไม่สร้างมูลค่า</v>
      </c>
      <c r="DR49" s="30" t="str">
        <f t="shared" si="275"/>
        <v>✅ ROE &gt; CoE = เพิ่มมูลค่า</v>
      </c>
      <c r="DS49" s="30" t="str">
        <f t="shared" si="275"/>
        <v>✅ ROE &gt; CoE = เพิ่มมูลค่า</v>
      </c>
      <c r="DT49" s="30" t="str">
        <f t="shared" si="275"/>
        <v>✅ ROE &gt; CoE = เพิ่มมูลค่า</v>
      </c>
      <c r="DU49" s="30" t="str">
        <f t="shared" si="275"/>
        <v>✅ ROE &gt; CoE = เพิ่มมูลค่า</v>
      </c>
      <c r="DV49" s="30" t="str">
        <f t="shared" si="275"/>
        <v>✅ ROE &gt; CoE = เพิ่มมูลค่า</v>
      </c>
      <c r="DW49" s="30" t="str">
        <f t="shared" si="275"/>
        <v>❌ ROE &lt; CoE = ไม่สร้างมูลค่า</v>
      </c>
      <c r="DX49" s="30" t="str">
        <f t="shared" ref="DX49:FA49" si="276">IF(DX29&gt;DX16, "✅ ROE &gt; CoE = เพิ่มมูลค่า", "❌ ROE &lt; CoE = ไม่สร้างมูลค่า")</f>
        <v>✅ ROE &gt; CoE = เพิ่มมูลค่า</v>
      </c>
      <c r="DY49" s="30" t="str">
        <f t="shared" si="276"/>
        <v>✅ ROE &gt; CoE = เพิ่มมูลค่า</v>
      </c>
      <c r="DZ49" s="30" t="str">
        <f t="shared" si="276"/>
        <v>✅ ROE &gt; CoE = เพิ่มมูลค่า</v>
      </c>
      <c r="EA49" s="30" t="str">
        <f t="shared" si="276"/>
        <v>✅ ROE &gt; CoE = เพิ่มมูลค่า</v>
      </c>
      <c r="EB49" s="30" t="str">
        <f t="shared" si="276"/>
        <v>✅ ROE &gt; CoE = เพิ่มมูลค่า</v>
      </c>
      <c r="EC49" s="30" t="str">
        <f t="shared" si="276"/>
        <v>✅ ROE &gt; CoE = เพิ่มมูลค่า</v>
      </c>
      <c r="ED49" s="30" t="str">
        <f t="shared" si="276"/>
        <v>✅ ROE &gt; CoE = เพิ่มมูลค่า</v>
      </c>
      <c r="EE49" s="30" t="str">
        <f t="shared" si="276"/>
        <v>✅ ROE &gt; CoE = เพิ่มมูลค่า</v>
      </c>
      <c r="EF49" s="30" t="str">
        <f t="shared" si="276"/>
        <v>✅ ROE &gt; CoE = เพิ่มมูลค่า</v>
      </c>
      <c r="EG49" s="30" t="str">
        <f t="shared" si="276"/>
        <v>✅ ROE &gt; CoE = เพิ่มมูลค่า</v>
      </c>
      <c r="EH49" s="30" t="str">
        <f t="shared" si="276"/>
        <v>✅ ROE &gt; CoE = เพิ่มมูลค่า</v>
      </c>
      <c r="EI49" s="30" t="str">
        <f t="shared" si="276"/>
        <v>❌ ROE &lt; CoE = ไม่สร้างมูลค่า</v>
      </c>
      <c r="EJ49" s="30" t="str">
        <f t="shared" si="276"/>
        <v>✅ ROE &gt; CoE = เพิ่มมูลค่า</v>
      </c>
      <c r="EK49" s="30" t="str">
        <f t="shared" si="276"/>
        <v>❌ ROE &lt; CoE = ไม่สร้างมูลค่า</v>
      </c>
      <c r="EL49" s="30" t="str">
        <f t="shared" si="276"/>
        <v>✅ ROE &gt; CoE = เพิ่มมูลค่า</v>
      </c>
      <c r="EM49" s="30" t="str">
        <f t="shared" si="276"/>
        <v>✅ ROE &gt; CoE = เพิ่มมูลค่า</v>
      </c>
      <c r="EN49" s="30" t="str">
        <f t="shared" si="276"/>
        <v>❌ ROE &lt; CoE = ไม่สร้างมูลค่า</v>
      </c>
      <c r="EO49" s="44" t="str">
        <f t="shared" si="276"/>
        <v>✅ ROE &gt; CoE = เพิ่มมูลค่า</v>
      </c>
      <c r="EZ49" s="41" t="str">
        <f t="shared" si="276"/>
        <v>❌ ROE &lt; CoE = ไม่สร้างมูลค่า</v>
      </c>
      <c r="FA49" s="30" t="str">
        <f t="shared" si="276"/>
        <v>✅ ROE &gt; CoE = เพิ่มมูลค่า</v>
      </c>
      <c r="FB49" s="30" t="str">
        <f t="shared" ref="FB49:HM49" si="277">IF(FB29&gt;FB16, "✅ ROE &gt; CoE = เพิ่มมูลค่า", "❌ ROE &lt; CoE = ไม่สร้างมูลค่า")</f>
        <v>✅ ROE &gt; CoE = เพิ่มมูลค่า</v>
      </c>
      <c r="FC49" s="30" t="str">
        <f t="shared" si="277"/>
        <v>✅ ROE &gt; CoE = เพิ่มมูลค่า</v>
      </c>
      <c r="FD49" s="30" t="str">
        <f t="shared" si="277"/>
        <v>✅ ROE &gt; CoE = เพิ่มมูลค่า</v>
      </c>
      <c r="FE49" s="30" t="str">
        <f t="shared" si="277"/>
        <v>✅ ROE &gt; CoE = เพิ่มมูลค่า</v>
      </c>
      <c r="FF49" s="30" t="str">
        <f t="shared" si="277"/>
        <v>✅ ROE &gt; CoE = เพิ่มมูลค่า</v>
      </c>
      <c r="FG49" s="30" t="str">
        <f t="shared" si="277"/>
        <v>❌ ROE &lt; CoE = ไม่สร้างมูลค่า</v>
      </c>
      <c r="FH49" s="30" t="str">
        <f t="shared" si="277"/>
        <v>✅ ROE &gt; CoE = เพิ่มมูลค่า</v>
      </c>
      <c r="FI49" s="30" t="str">
        <f t="shared" si="277"/>
        <v>✅ ROE &gt; CoE = เพิ่มมูลค่า</v>
      </c>
      <c r="FJ49" s="30" t="str">
        <f t="shared" si="277"/>
        <v>❌ ROE &lt; CoE = ไม่สร้างมูลค่า</v>
      </c>
      <c r="FK49" s="30" t="str">
        <f t="shared" si="277"/>
        <v>✅ ROE &gt; CoE = เพิ่มมูลค่า</v>
      </c>
      <c r="FL49" s="30" t="str">
        <f t="shared" si="277"/>
        <v>❌ ROE &lt; CoE = ไม่สร้างมูลค่า</v>
      </c>
      <c r="FM49" s="30" t="str">
        <f t="shared" si="277"/>
        <v>✅ ROE &gt; CoE = เพิ่มมูลค่า</v>
      </c>
      <c r="FN49" s="30" t="str">
        <f t="shared" si="277"/>
        <v>✅ ROE &gt; CoE = เพิ่มมูลค่า</v>
      </c>
      <c r="FO49" s="30" t="str">
        <f t="shared" si="277"/>
        <v>✅ ROE &gt; CoE = เพิ่มมูลค่า</v>
      </c>
      <c r="FP49" s="30" t="str">
        <f t="shared" si="277"/>
        <v>✅ ROE &gt; CoE = เพิ่มมูลค่า</v>
      </c>
      <c r="FQ49" s="30" t="str">
        <f t="shared" si="277"/>
        <v>✅ ROE &gt; CoE = เพิ่มมูลค่า</v>
      </c>
      <c r="FR49" s="30" t="str">
        <f t="shared" si="277"/>
        <v>✅ ROE &gt; CoE = เพิ่มมูลค่า</v>
      </c>
      <c r="FS49" s="30" t="str">
        <f t="shared" si="277"/>
        <v>✅ ROE &gt; CoE = เพิ่มมูลค่า</v>
      </c>
      <c r="FT49" s="30" t="str">
        <f t="shared" si="277"/>
        <v>✅ ROE &gt; CoE = เพิ่มมูลค่า</v>
      </c>
      <c r="FU49" s="30" t="str">
        <f t="shared" si="277"/>
        <v>✅ ROE &gt; CoE = เพิ่มมูลค่า</v>
      </c>
      <c r="FV49" s="30" t="str">
        <f t="shared" si="277"/>
        <v>✅ ROE &gt; CoE = เพิ่มมูลค่า</v>
      </c>
      <c r="FW49" s="30" t="str">
        <f t="shared" si="277"/>
        <v>✅ ROE &gt; CoE = เพิ่มมูลค่า</v>
      </c>
      <c r="FX49" s="30" t="str">
        <f t="shared" si="277"/>
        <v>✅ ROE &gt; CoE = เพิ่มมูลค่า</v>
      </c>
      <c r="FY49" s="30" t="str">
        <f t="shared" si="277"/>
        <v>❌ ROE &lt; CoE = ไม่สร้างมูลค่า</v>
      </c>
      <c r="FZ49" s="30" t="str">
        <f t="shared" si="277"/>
        <v>✅ ROE &gt; CoE = เพิ่มมูลค่า</v>
      </c>
      <c r="GA49" s="30" t="str">
        <f t="shared" si="277"/>
        <v>✅ ROE &gt; CoE = เพิ่มมูลค่า</v>
      </c>
      <c r="GB49" s="30" t="str">
        <f t="shared" si="277"/>
        <v>✅ ROE &gt; CoE = เพิ่มมูลค่า</v>
      </c>
      <c r="GC49" s="30" t="str">
        <f t="shared" si="277"/>
        <v>❌ ROE &lt; CoE = ไม่สร้างมูลค่า</v>
      </c>
      <c r="GD49" s="30" t="str">
        <f t="shared" si="277"/>
        <v>✅ ROE &gt; CoE = เพิ่มมูลค่า</v>
      </c>
      <c r="GE49" s="30" t="str">
        <f t="shared" si="277"/>
        <v>✅ ROE &gt; CoE = เพิ่มมูลค่า</v>
      </c>
      <c r="GF49" s="30" t="str">
        <f t="shared" si="277"/>
        <v>✅ ROE &gt; CoE = เพิ่มมูลค่า</v>
      </c>
      <c r="GG49" s="30" t="str">
        <f t="shared" si="277"/>
        <v>❌ ROE &lt; CoE = ไม่สร้างมูลค่า</v>
      </c>
      <c r="GH49" s="30" t="str">
        <f t="shared" si="277"/>
        <v>✅ ROE &gt; CoE = เพิ่มมูลค่า</v>
      </c>
      <c r="GI49" s="30" t="str">
        <f t="shared" si="277"/>
        <v>❌ ROE &lt; CoE = ไม่สร้างมูลค่า</v>
      </c>
      <c r="GJ49" s="30" t="str">
        <f t="shared" si="277"/>
        <v>✅ ROE &gt; CoE = เพิ่มมูลค่า</v>
      </c>
      <c r="GK49" s="30" t="str">
        <f t="shared" si="277"/>
        <v>✅ ROE &gt; CoE = เพิ่มมูลค่า</v>
      </c>
      <c r="GL49" s="30" t="str">
        <f t="shared" si="277"/>
        <v>✅ ROE &gt; CoE = เพิ่มมูลค่า</v>
      </c>
      <c r="GM49" s="30" t="str">
        <f t="shared" si="277"/>
        <v>✅ ROE &gt; CoE = เพิ่มมูลค่า</v>
      </c>
      <c r="GN49" s="30" t="str">
        <f t="shared" si="277"/>
        <v>✅ ROE &gt; CoE = เพิ่มมูลค่า</v>
      </c>
      <c r="GO49" s="30" t="str">
        <f t="shared" si="277"/>
        <v>❌ ROE &lt; CoE = ไม่สร้างมูลค่า</v>
      </c>
      <c r="GP49" s="30" t="str">
        <f t="shared" si="277"/>
        <v>✅ ROE &gt; CoE = เพิ่มมูลค่า</v>
      </c>
      <c r="GQ49" s="30" t="str">
        <f t="shared" si="277"/>
        <v>✅ ROE &gt; CoE = เพิ่มมูลค่า</v>
      </c>
      <c r="GR49" s="30" t="str">
        <f t="shared" si="277"/>
        <v>✅ ROE &gt; CoE = เพิ่มมูลค่า</v>
      </c>
      <c r="GS49" s="30" t="str">
        <f t="shared" si="277"/>
        <v>❌ ROE &lt; CoE = ไม่สร้างมูลค่า</v>
      </c>
      <c r="GT49" s="30" t="str">
        <f t="shared" si="277"/>
        <v>❌ ROE &lt; CoE = ไม่สร้างมูลค่า</v>
      </c>
      <c r="GU49" s="30" t="str">
        <f t="shared" si="277"/>
        <v>❌ ROE &lt; CoE = ไม่สร้างมูลค่า</v>
      </c>
      <c r="GV49" s="30" t="str">
        <f t="shared" si="277"/>
        <v>❌ ROE &lt; CoE = ไม่สร้างมูลค่า</v>
      </c>
      <c r="GW49" s="30" t="str">
        <f t="shared" si="277"/>
        <v>❌ ROE &lt; CoE = ไม่สร้างมูลค่า</v>
      </c>
      <c r="GX49" s="30" t="str">
        <f t="shared" si="277"/>
        <v>❌ ROE &lt; CoE = ไม่สร้างมูลค่า</v>
      </c>
      <c r="GY49" s="30" t="str">
        <f t="shared" si="277"/>
        <v>❌ ROE &lt; CoE = ไม่สร้างมูลค่า</v>
      </c>
      <c r="GZ49" s="30" t="str">
        <f t="shared" si="277"/>
        <v>❌ ROE &lt; CoE = ไม่สร้างมูลค่า</v>
      </c>
      <c r="HA49" s="30" t="str">
        <f t="shared" si="277"/>
        <v>❌ ROE &lt; CoE = ไม่สร้างมูลค่า</v>
      </c>
      <c r="HB49" s="30" t="str">
        <f t="shared" si="277"/>
        <v>✅ ROE &gt; CoE = เพิ่มมูลค่า</v>
      </c>
      <c r="HC49" s="30" t="str">
        <f t="shared" si="277"/>
        <v>✅ ROE &gt; CoE = เพิ่มมูลค่า</v>
      </c>
      <c r="HD49" s="30" t="str">
        <f t="shared" si="277"/>
        <v>✅ ROE &gt; CoE = เพิ่มมูลค่า</v>
      </c>
      <c r="HE49" s="30" t="str">
        <f t="shared" si="277"/>
        <v>✅ ROE &gt; CoE = เพิ่มมูลค่า</v>
      </c>
      <c r="HF49" s="30" t="str">
        <f t="shared" si="277"/>
        <v>✅ ROE &gt; CoE = เพิ่มมูลค่า</v>
      </c>
      <c r="HG49" s="30" t="str">
        <f t="shared" si="277"/>
        <v>❌ ROE &lt; CoE = ไม่สร้างมูลค่า</v>
      </c>
      <c r="HH49" s="30" t="str">
        <f t="shared" si="277"/>
        <v>✅ ROE &gt; CoE = เพิ่มมูลค่า</v>
      </c>
      <c r="HI49" s="30" t="str">
        <f t="shared" si="277"/>
        <v>✅ ROE &gt; CoE = เพิ่มมูลค่า</v>
      </c>
      <c r="HJ49" s="30" t="str">
        <f t="shared" si="277"/>
        <v>❌ ROE &lt; CoE = ไม่สร้างมูลค่า</v>
      </c>
      <c r="HK49" s="30" t="str">
        <f t="shared" si="277"/>
        <v>✅ ROE &gt; CoE = เพิ่มมูลค่า</v>
      </c>
      <c r="HL49" s="30" t="str">
        <f t="shared" si="277"/>
        <v>✅ ROE &gt; CoE = เพิ่มมูลค่า</v>
      </c>
      <c r="HM49" s="30" t="str">
        <f t="shared" si="277"/>
        <v>✅ ROE &gt; CoE = เพิ่มมูลค่า</v>
      </c>
      <c r="HN49" s="30" t="str">
        <f t="shared" ref="HN49:HP49" si="278">IF(HN29&gt;HN16, "✅ ROE &gt; CoE = เพิ่มมูลค่า", "❌ ROE &lt; CoE = ไม่สร้างมูลค่า")</f>
        <v>✅ ROE &gt; CoE = เพิ่มมูลค่า</v>
      </c>
      <c r="HO49" s="30" t="str">
        <f t="shared" si="278"/>
        <v>✅ ROE &gt; CoE = เพิ่มมูลค่า</v>
      </c>
      <c r="HP49" s="30" t="str">
        <f t="shared" si="278"/>
        <v>✅ ROE &gt; CoE = เพิ่มมูลค่า</v>
      </c>
      <c r="HQ49" s="30" t="str">
        <f t="shared" ref="HQ49:HV49" si="279">IF(HQ29&gt;HQ16, "✅ ROE &gt; CoE = เพิ่มมูลค่า", "❌ ROE &lt; CoE = ไม่สร้างมูลค่า")</f>
        <v>✅ ROE &gt; CoE = เพิ่มมูลค่า</v>
      </c>
      <c r="HR49" s="30" t="str">
        <f t="shared" si="279"/>
        <v>✅ ROE &gt; CoE = เพิ่มมูลค่า</v>
      </c>
      <c r="HS49" s="30" t="str">
        <f t="shared" si="279"/>
        <v>✅ ROE &gt; CoE = เพิ่มมูลค่า</v>
      </c>
      <c r="HT49" s="30" t="str">
        <f t="shared" si="279"/>
        <v>✅ ROE &gt; CoE = เพิ่มมูลค่า</v>
      </c>
      <c r="HU49" s="30" t="str">
        <f t="shared" si="279"/>
        <v>✅ ROE &gt; CoE = เพิ่มมูลค่า</v>
      </c>
      <c r="HV49" s="30" t="str">
        <f t="shared" si="279"/>
        <v>✅ ROE &gt; CoE = เพิ่มมูลค่า</v>
      </c>
      <c r="HW49" s="30" t="str">
        <f t="shared" ref="HW49:HX49" si="280">IF(HW29&gt;HW16, "✅ ROE &gt; CoE = เพิ่มมูลค่า", "❌ ROE &lt; CoE = ไม่สร้างมูลค่า")</f>
        <v>✅ ROE &gt; CoE = เพิ่มมูลค่า</v>
      </c>
      <c r="HX49" s="30" t="str">
        <f t="shared" ref="HX49:HY49" si="281">IF(HX29&gt;HX16, "✅ ROE &gt; CoE = เพิ่มมูลค่า", "❌ ROE &lt; CoE = ไม่สร้างมูลค่า")</f>
        <v>✅ ROE &gt; CoE = เพิ่มมูลค่า</v>
      </c>
      <c r="HY49" s="30" t="str">
        <f t="shared" si="281"/>
        <v>✅ ROE &gt; CoE = เพิ่มมูลค่า</v>
      </c>
    </row>
    <row r="50" spans="1:233" ht="24" customHeight="1" x14ac:dyDescent="0.5">
      <c r="A50" s="51"/>
      <c r="B50" s="21" t="str">
        <f t="shared" ref="B50:C50" si="282">IF(AND(B29&gt;50,B30&lt;0.5),"ดีมาก: ROE สูงมาก หนี้ต่ำ",
IF(AND(B29&gt;15,B30&lt;1),"ดีพอใช้: กำไรดี หนี้ไม่เยอะ",
IF(AND(B29&gt;15,B30&gt;=1),"เสี่ยง: กำไรดีแต่หนี้สูง",
IF(AND(B29&lt;10,B30&gt;=1),"อ่อนแอ: กำไรต่ำ หนี้สูง",
"กลาง ๆ: กำไรไม่เด่น หนี้ไม่เยอะ"))))</f>
        <v>กลาง ๆ: กำไรไม่เด่น หนี้ไม่เยอะ</v>
      </c>
      <c r="C50" s="20" t="str">
        <f>IF(AND(C29&gt;50,C30&lt;0.5),"ดีมาก: ROE สูงมาก หนี้ต่ำ",
IF(AND(C29&gt;15,C30&lt;1),"ดีพอใช้: กำไรดี หนี้ไม่เยอะ",
IF(AND(C29&gt;15,C30&gt;=1),"เสี่ยง: กำไรดีแต่หนี้สูง",
IF(AND(C29&lt;10,C30&gt;=1),"อ่อนแอ: กำไรต่ำ หนี้สูง",
"กลาง ๆ: กำไรไม่เด่น หนี้ไม่เยอะ"))))</f>
        <v>ดีมาก: ROE สูงมาก หนี้ต่ำ</v>
      </c>
      <c r="D50" s="20" t="str">
        <f t="shared" ref="D50:AA50" si="283">IF(AND(D29&gt;50,D30&lt;0.5),"ดีมาก: ROE สูงมาก หนี้ต่ำ",
IF(AND(D29&gt;15,D30&lt;1),"ดีพอใช้: กำไรดี หนี้ไม่เยอะ",
IF(AND(D29&gt;15,D30&gt;=1),"เสี่ยง: กำไรดีแต่หนี้สูง",
IF(AND(D29&lt;10,D30&gt;=1),"อ่อนแอ: กำไรต่ำ หนี้สูง",
"กลาง ๆ: กำไรไม่เด่น หนี้ไม่เยอะ"))))</f>
        <v>กลาง ๆ: กำไรไม่เด่น หนี้ไม่เยอะ</v>
      </c>
      <c r="E50" s="20" t="str">
        <f t="shared" si="283"/>
        <v>กลาง ๆ: กำไรไม่เด่น หนี้ไม่เยอะ</v>
      </c>
      <c r="F50" s="20" t="str">
        <f t="shared" si="283"/>
        <v>กลาง ๆ: กำไรไม่เด่น หนี้ไม่เยอะ</v>
      </c>
      <c r="G50" s="20" t="str">
        <f t="shared" si="283"/>
        <v>กลาง ๆ: กำไรไม่เด่น หนี้ไม่เยอะ</v>
      </c>
      <c r="H50" s="20" t="str">
        <f t="shared" si="283"/>
        <v>กลาง ๆ: กำไรไม่เด่น หนี้ไม่เยอะ</v>
      </c>
      <c r="I50" s="20" t="str">
        <f t="shared" si="283"/>
        <v>ดีพอใช้: กำไรดี หนี้ไม่เยอะ</v>
      </c>
      <c r="J50" s="20" t="str">
        <f t="shared" si="283"/>
        <v>ดีพอใช้: กำไรดี หนี้ไม่เยอะ</v>
      </c>
      <c r="K50" s="20" t="str">
        <f t="shared" si="283"/>
        <v>เสี่ยง: กำไรดีแต่หนี้สูง</v>
      </c>
      <c r="L50" s="20" t="str">
        <f t="shared" si="283"/>
        <v>ดีพอใช้: กำไรดี หนี้ไม่เยอะ</v>
      </c>
      <c r="M50" s="20" t="str">
        <f t="shared" si="283"/>
        <v>ดีพอใช้: กำไรดี หนี้ไม่เยอะ</v>
      </c>
      <c r="N50" s="20" t="str">
        <f t="shared" si="283"/>
        <v>ดีพอใช้: กำไรดี หนี้ไม่เยอะ</v>
      </c>
      <c r="O50" s="20" t="str">
        <f t="shared" si="283"/>
        <v>กลาง ๆ: กำไรไม่เด่น หนี้ไม่เยอะ</v>
      </c>
      <c r="P50" s="20" t="str">
        <f t="shared" si="283"/>
        <v>ดีพอใช้: กำไรดี หนี้ไม่เยอะ</v>
      </c>
      <c r="Q50" s="20" t="str">
        <f t="shared" si="283"/>
        <v>กลาง ๆ: กำไรไม่เด่น หนี้ไม่เยอะ</v>
      </c>
      <c r="R50" s="20" t="str">
        <f t="shared" si="283"/>
        <v>เสี่ยง: กำไรดีแต่หนี้สูง</v>
      </c>
      <c r="S50" s="20" t="str">
        <f t="shared" si="283"/>
        <v>เสี่ยง: กำไรดีแต่หนี้สูง</v>
      </c>
      <c r="T50" s="20" t="str">
        <f t="shared" si="283"/>
        <v>ดีพอใช้: กำไรดี หนี้ไม่เยอะ</v>
      </c>
      <c r="U50" s="20" t="str">
        <f t="shared" si="283"/>
        <v>เสี่ยง: กำไรดีแต่หนี้สูง</v>
      </c>
      <c r="V50" s="20" t="str">
        <f t="shared" si="283"/>
        <v>ดีพอใช้: กำไรดี หนี้ไม่เยอะ</v>
      </c>
      <c r="W50" s="20" t="str">
        <f t="shared" si="283"/>
        <v>เสี่ยง: กำไรดีแต่หนี้สูง</v>
      </c>
      <c r="X50" s="20" t="str">
        <f t="shared" si="283"/>
        <v>กลาง ๆ: กำไรไม่เด่น หนี้ไม่เยอะ</v>
      </c>
      <c r="Y50" s="20" t="str">
        <f t="shared" si="283"/>
        <v>ดีพอใช้: กำไรดี หนี้ไม่เยอะ</v>
      </c>
      <c r="Z50" s="20" t="str">
        <f t="shared" si="283"/>
        <v>เสี่ยง: กำไรดีแต่หนี้สูง</v>
      </c>
      <c r="AA50" s="20" t="str">
        <f t="shared" si="283"/>
        <v>ดีมาก: ROE สูงมาก หนี้ต่ำ</v>
      </c>
      <c r="AB50" s="30" t="str">
        <f>IF(AND(AB29&gt;50,AB30&lt;0.5),"ดีมาก: ROE สูงมาก หนี้ต่ำ",
IF(AND(AB29&gt;15,AB30&lt;1),"ดีพอใช้: กำไรดี หนี้ไม่เยอะ",
IF(AND(AB29&gt;15,AB30&gt;=1),"เสี่ยง: กำไรดีแต่หนี้สูง",
IF(AND(AB29&lt;10,AB30&gt;=1),"อ่อนแอ: กำไรต่ำ หนี้สูง",
"กลาง ๆ: กำไรไม่เด่น หนี้ไม่เยอะ"))))</f>
        <v>ดีพอใช้: กำไรดี หนี้ไม่เยอะ</v>
      </c>
      <c r="AC50" s="30" t="str">
        <f t="shared" ref="AC50:BE50" si="284">IF(AND(AC29&gt;50,AC30&lt;0.5),"ดีมาก: ROE สูงมาก หนี้ต่ำ",
IF(AND(AC29&gt;15,AC30&lt;1),"ดีพอใช้: กำไรดี หนี้ไม่เยอะ",
IF(AND(AC29&gt;15,AC30&gt;=1),"เสี่ยง: กำไรดีแต่หนี้สูง",
IF(AND(AC29&lt;10,AC30&gt;=1),"อ่อนแอ: กำไรต่ำ หนี้สูง",
"กลาง ๆ: กำไรไม่เด่น หนี้ไม่เยอะ"))))</f>
        <v>ดีพอใช้: กำไรดี หนี้ไม่เยอะ</v>
      </c>
      <c r="AD50" s="30" t="str">
        <f t="shared" si="284"/>
        <v>ดีพอใช้: กำไรดี หนี้ไม่เยอะ</v>
      </c>
      <c r="AE50" s="30" t="str">
        <f t="shared" si="284"/>
        <v>อ่อนแอ: กำไรต่ำ หนี้สูง</v>
      </c>
      <c r="AF50" s="30" t="str">
        <f t="shared" si="284"/>
        <v>ดีมาก: ROE สูงมาก หนี้ต่ำ</v>
      </c>
      <c r="AG50" s="30" t="str">
        <f t="shared" si="284"/>
        <v>กลาง ๆ: กำไรไม่เด่น หนี้ไม่เยอะ</v>
      </c>
      <c r="AH50" s="30" t="str">
        <f t="shared" si="284"/>
        <v>กลาง ๆ: กำไรไม่เด่น หนี้ไม่เยอะ</v>
      </c>
      <c r="AI50" s="30" t="str">
        <f t="shared" si="284"/>
        <v>เสี่ยง: กำไรดีแต่หนี้สูง</v>
      </c>
      <c r="AJ50" s="30" t="str">
        <f t="shared" si="284"/>
        <v>ดีพอใช้: กำไรดี หนี้ไม่เยอะ</v>
      </c>
      <c r="AK50" s="30" t="str">
        <f t="shared" si="284"/>
        <v>เสี่ยง: กำไรดีแต่หนี้สูง</v>
      </c>
      <c r="AL50" s="30" t="str">
        <f t="shared" si="284"/>
        <v>กลาง ๆ: กำไรไม่เด่น หนี้ไม่เยอะ</v>
      </c>
      <c r="AM50" s="30" t="str">
        <f t="shared" si="284"/>
        <v>เสี่ยง: กำไรดีแต่หนี้สูง</v>
      </c>
      <c r="AN50" s="30" t="str">
        <f t="shared" si="284"/>
        <v>ดีพอใช้: กำไรดี หนี้ไม่เยอะ</v>
      </c>
      <c r="AO50" s="30" t="str">
        <f t="shared" si="284"/>
        <v>เสี่ยง: กำไรดีแต่หนี้สูง</v>
      </c>
      <c r="AP50" s="30" t="str">
        <f t="shared" si="284"/>
        <v>ดีพอใช้: กำไรดี หนี้ไม่เยอะ</v>
      </c>
      <c r="AQ50" s="30" t="str">
        <f t="shared" si="284"/>
        <v>ดีพอใช้: กำไรดี หนี้ไม่เยอะ</v>
      </c>
      <c r="AR50" s="30" t="str">
        <f t="shared" si="284"/>
        <v>กลาง ๆ: กำไรไม่เด่น หนี้ไม่เยอะ</v>
      </c>
      <c r="AS50" s="30" t="str">
        <f t="shared" si="284"/>
        <v>เสี่ยง: กำไรดีแต่หนี้สูง</v>
      </c>
      <c r="AT50" s="30" t="str">
        <f t="shared" si="284"/>
        <v>กลาง ๆ: กำไรไม่เด่น หนี้ไม่เยอะ</v>
      </c>
      <c r="AU50" s="30" t="str">
        <f t="shared" si="284"/>
        <v>กลาง ๆ: กำไรไม่เด่น หนี้ไม่เยอะ</v>
      </c>
      <c r="AV50" s="30" t="str">
        <f t="shared" si="284"/>
        <v>ดีพอใช้: กำไรดี หนี้ไม่เยอะ</v>
      </c>
      <c r="AW50" s="30" t="str">
        <f t="shared" si="284"/>
        <v>อ่อนแอ: กำไรต่ำ หนี้สูง</v>
      </c>
      <c r="AX50" s="30" t="str">
        <f t="shared" si="284"/>
        <v>เสี่ยง: กำไรดีแต่หนี้สูง</v>
      </c>
      <c r="AY50" s="30" t="str">
        <f t="shared" si="284"/>
        <v>กลาง ๆ: กำไรไม่เด่น หนี้ไม่เยอะ</v>
      </c>
      <c r="AZ50" s="30" t="str">
        <f t="shared" si="284"/>
        <v>กลาง ๆ: กำไรไม่เด่น หนี้ไม่เยอะ</v>
      </c>
      <c r="BA50" s="30" t="str">
        <f t="shared" si="284"/>
        <v>เสี่ยง: กำไรดีแต่หนี้สูง</v>
      </c>
      <c r="BB50" s="30" t="str">
        <f t="shared" si="284"/>
        <v>กลาง ๆ: กำไรไม่เด่น หนี้ไม่เยอะ</v>
      </c>
      <c r="BC50" s="30" t="str">
        <f t="shared" si="284"/>
        <v>ดีพอใช้: กำไรดี หนี้ไม่เยอะ</v>
      </c>
      <c r="BD50" s="30" t="str">
        <f t="shared" si="284"/>
        <v>ดีพอใช้: กำไรดี หนี้ไม่เยอะ</v>
      </c>
      <c r="BE50" s="20" t="str">
        <f t="shared" si="284"/>
        <v>ดีมาก: ROE สูงมาก หนี้ต่ำ</v>
      </c>
      <c r="BF50" s="20" t="str">
        <f t="shared" ref="BF50:BK50" si="285">IF(AND(BF29&gt;50,BF30&lt;0.5),"ดีมาก: ROE สูงมาก หนี้ต่ำ",
IF(AND(BF29&gt;15,BF30&lt;1),"ดีพอใช้: กำไรดี หนี้ไม่เยอะ",
IF(AND(BF29&gt;15,BF30&gt;=1),"เสี่ยง: กำไรดีแต่หนี้สูง",
IF(AND(BF29&lt;10,BF30&gt;=1),"อ่อนแอ: กำไรต่ำ หนี้สูง",
"กลาง ๆ: กำไรไม่เด่น หนี้ไม่เยอะ"))))</f>
        <v>ดีพอใช้: กำไรดี หนี้ไม่เยอะ</v>
      </c>
      <c r="BG50" s="20" t="str">
        <f t="shared" si="285"/>
        <v>กลาง ๆ: กำไรไม่เด่น หนี้ไม่เยอะ</v>
      </c>
      <c r="BH50" s="20" t="str">
        <f t="shared" si="285"/>
        <v>กลาง ๆ: กำไรไม่เด่น หนี้ไม่เยอะ</v>
      </c>
      <c r="BI50" s="20" t="str">
        <f t="shared" si="285"/>
        <v>เสี่ยง: กำไรดีแต่หนี้สูง</v>
      </c>
      <c r="BJ50" s="20" t="str">
        <f t="shared" si="285"/>
        <v>กลาง ๆ: กำไรไม่เด่น หนี้ไม่เยอะ</v>
      </c>
      <c r="BK50" s="30" t="str">
        <f t="shared" si="285"/>
        <v>ดีพอใช้: กำไรดี หนี้ไม่เยอะ</v>
      </c>
      <c r="BL50" s="20" t="str">
        <f t="shared" ref="BL50:DW50" si="286">IF(AND(BL29&gt;50,BL30&lt;0.5),"ดีมาก: ROE สูงมาก หนี้ต่ำ",
IF(AND(BL29&gt;15,BL30&lt;1),"ดีพอใช้: กำไรดี หนี้ไม่เยอะ",
IF(AND(BL29&gt;15,BL30&gt;=1),"เสี่ยง: กำไรดีแต่หนี้สูง",
IF(AND(BL29&lt;10,BL30&gt;=1),"อ่อนแอ: กำไรต่ำ หนี้สูง",
"กลาง ๆ: กำไรไม่เด่น หนี้ไม่เยอะ"))))</f>
        <v>ดีพอใช้: กำไรดี หนี้ไม่เยอะ</v>
      </c>
      <c r="BM50" s="20" t="str">
        <f t="shared" si="286"/>
        <v>ดีพอใช้: กำไรดี หนี้ไม่เยอะ</v>
      </c>
      <c r="BN50" s="20" t="str">
        <f t="shared" si="286"/>
        <v>ดีพอใช้: กำไรดี หนี้ไม่เยอะ</v>
      </c>
      <c r="BO50" s="20" t="str">
        <f t="shared" si="286"/>
        <v>กลาง ๆ: กำไรไม่เด่น หนี้ไม่เยอะ</v>
      </c>
      <c r="BP50" s="20" t="str">
        <f t="shared" si="286"/>
        <v>กลาง ๆ: กำไรไม่เด่น หนี้ไม่เยอะ</v>
      </c>
      <c r="BQ50" s="20" t="str">
        <f t="shared" si="286"/>
        <v>กลาง ๆ: กำไรไม่เด่น หนี้ไม่เยอะ</v>
      </c>
      <c r="BR50" s="20" t="str">
        <f t="shared" si="286"/>
        <v>กลาง ๆ: กำไรไม่เด่น หนี้ไม่เยอะ</v>
      </c>
      <c r="BS50" s="20" t="str">
        <f t="shared" si="286"/>
        <v>เสี่ยง: กำไรดีแต่หนี้สูง</v>
      </c>
      <c r="BT50" s="20" t="str">
        <f t="shared" si="286"/>
        <v>กลาง ๆ: กำไรไม่เด่น หนี้ไม่เยอะ</v>
      </c>
      <c r="BU50" s="20" t="str">
        <f t="shared" si="286"/>
        <v>ดีพอใช้: กำไรดี หนี้ไม่เยอะ</v>
      </c>
      <c r="BV50" s="20" t="str">
        <f t="shared" si="286"/>
        <v>กลาง ๆ: กำไรไม่เด่น หนี้ไม่เยอะ</v>
      </c>
      <c r="BW50" s="20" t="str">
        <f t="shared" si="286"/>
        <v>ดีพอใช้: กำไรดี หนี้ไม่เยอะ</v>
      </c>
      <c r="BX50" s="20" t="str">
        <f t="shared" si="286"/>
        <v>ดีพอใช้: กำไรดี หนี้ไม่เยอะ</v>
      </c>
      <c r="BY50" s="20" t="str">
        <f t="shared" si="286"/>
        <v>ดีพอใช้: กำไรดี หนี้ไม่เยอะ</v>
      </c>
      <c r="BZ50" s="20" t="str">
        <f t="shared" si="286"/>
        <v>เสี่ยง: กำไรดีแต่หนี้สูง</v>
      </c>
      <c r="CA50" s="20" t="str">
        <f t="shared" si="286"/>
        <v>ดีพอใช้: กำไรดี หนี้ไม่เยอะ</v>
      </c>
      <c r="CB50" s="20" t="str">
        <f t="shared" si="286"/>
        <v>อ่อนแอ: กำไรต่ำ หนี้สูง</v>
      </c>
      <c r="CC50" s="20" t="str">
        <f t="shared" si="286"/>
        <v>ดีพอใช้: กำไรดี หนี้ไม่เยอะ</v>
      </c>
      <c r="CD50" s="20" t="str">
        <f t="shared" si="286"/>
        <v>ดีพอใช้: กำไรดี หนี้ไม่เยอะ</v>
      </c>
      <c r="CE50" s="20" t="str">
        <f t="shared" si="286"/>
        <v>กลาง ๆ: กำไรไม่เด่น หนี้ไม่เยอะ</v>
      </c>
      <c r="CF50" s="20" t="str">
        <f t="shared" si="286"/>
        <v>เสี่ยง: กำไรดีแต่หนี้สูง</v>
      </c>
      <c r="CG50" s="20" t="str">
        <f t="shared" si="286"/>
        <v>อ่อนแอ: กำไรต่ำ หนี้สูง</v>
      </c>
      <c r="CH50" s="20" t="str">
        <f t="shared" si="286"/>
        <v>อ่อนแอ: กำไรต่ำ หนี้สูง</v>
      </c>
      <c r="CI50" s="20" t="str">
        <f t="shared" si="286"/>
        <v>เสี่ยง: กำไรดีแต่หนี้สูง</v>
      </c>
      <c r="CJ50" s="20" t="str">
        <f t="shared" si="286"/>
        <v>อ่อนแอ: กำไรต่ำ หนี้สูง</v>
      </c>
      <c r="CK50" s="20" t="str">
        <f t="shared" si="286"/>
        <v>ดีพอใช้: กำไรดี หนี้ไม่เยอะ</v>
      </c>
      <c r="CL50" s="20" t="str">
        <f t="shared" si="286"/>
        <v>กลาง ๆ: กำไรไม่เด่น หนี้ไม่เยอะ</v>
      </c>
      <c r="CM50" s="20" t="str">
        <f t="shared" si="286"/>
        <v>กลาง ๆ: กำไรไม่เด่น หนี้ไม่เยอะ</v>
      </c>
      <c r="CN50" s="20" t="str">
        <f t="shared" si="286"/>
        <v>ดีพอใช้: กำไรดี หนี้ไม่เยอะ</v>
      </c>
      <c r="CO50" s="20" t="str">
        <f t="shared" si="286"/>
        <v>เสี่ยง: กำไรดีแต่หนี้สูง</v>
      </c>
      <c r="CP50" s="20" t="str">
        <f t="shared" si="286"/>
        <v>กลาง ๆ: กำไรไม่เด่น หนี้ไม่เยอะ</v>
      </c>
      <c r="CQ50" s="20" t="str">
        <f t="shared" si="286"/>
        <v>เสี่ยง: กำไรดีแต่หนี้สูง</v>
      </c>
      <c r="CR50" s="20" t="str">
        <f t="shared" si="286"/>
        <v>กลาง ๆ: กำไรไม่เด่น หนี้ไม่เยอะ</v>
      </c>
      <c r="CS50" s="20" t="str">
        <f t="shared" si="286"/>
        <v>ดีพอใช้: กำไรดี หนี้ไม่เยอะ</v>
      </c>
      <c r="CT50" s="20" t="str">
        <f t="shared" si="286"/>
        <v>ดีพอใช้: กำไรดี หนี้ไม่เยอะ</v>
      </c>
      <c r="CU50" s="20" t="str">
        <f t="shared" si="286"/>
        <v>เสี่ยง: กำไรดีแต่หนี้สูง</v>
      </c>
      <c r="CV50" s="20" t="str">
        <f t="shared" si="286"/>
        <v>กลาง ๆ: กำไรไม่เด่น หนี้ไม่เยอะ</v>
      </c>
      <c r="CW50" s="20" t="str">
        <f t="shared" si="286"/>
        <v>กลาง ๆ: กำไรไม่เด่น หนี้ไม่เยอะ</v>
      </c>
      <c r="CX50" s="20" t="str">
        <f t="shared" si="286"/>
        <v>กลาง ๆ: กำไรไม่เด่น หนี้ไม่เยอะ</v>
      </c>
      <c r="CY50" s="20" t="str">
        <f t="shared" si="286"/>
        <v>กลาง ๆ: กำไรไม่เด่น หนี้ไม่เยอะ</v>
      </c>
      <c r="CZ50" s="20" t="str">
        <f t="shared" si="286"/>
        <v>เสี่ยง: กำไรดีแต่หนี้สูง</v>
      </c>
      <c r="DA50" s="20" t="str">
        <f t="shared" si="286"/>
        <v>ดีพอใช้: กำไรดี หนี้ไม่เยอะ</v>
      </c>
      <c r="DB50" s="20" t="str">
        <f t="shared" si="286"/>
        <v>เสี่ยง: กำไรดีแต่หนี้สูง</v>
      </c>
      <c r="DC50" s="20" t="str">
        <f t="shared" si="286"/>
        <v>กลาง ๆ: กำไรไม่เด่น หนี้ไม่เยอะ</v>
      </c>
      <c r="DD50" s="20" t="str">
        <f t="shared" si="286"/>
        <v>กลาง ๆ: กำไรไม่เด่น หนี้ไม่เยอะ</v>
      </c>
      <c r="DE50" s="20" t="str">
        <f t="shared" si="286"/>
        <v>เสี่ยง: กำไรดีแต่หนี้สูง</v>
      </c>
      <c r="DF50" s="20" t="str">
        <f t="shared" si="286"/>
        <v>กลาง ๆ: กำไรไม่เด่น หนี้ไม่เยอะ</v>
      </c>
      <c r="DG50" s="20" t="str">
        <f t="shared" si="286"/>
        <v>เสี่ยง: กำไรดีแต่หนี้สูง</v>
      </c>
      <c r="DH50" s="20" t="str">
        <f t="shared" si="286"/>
        <v>กลาง ๆ: กำไรไม่เด่น หนี้ไม่เยอะ</v>
      </c>
      <c r="DI50" s="20" t="str">
        <f t="shared" si="286"/>
        <v>กลาง ๆ: กำไรไม่เด่น หนี้ไม่เยอะ</v>
      </c>
      <c r="DJ50" s="20" t="str">
        <f t="shared" si="286"/>
        <v>ดีพอใช้: กำไรดี หนี้ไม่เยอะ</v>
      </c>
      <c r="DK50" s="20" t="str">
        <f t="shared" si="286"/>
        <v>กลาง ๆ: กำไรไม่เด่น หนี้ไม่เยอะ</v>
      </c>
      <c r="DL50" s="20" t="str">
        <f t="shared" si="286"/>
        <v>เสี่ยง: กำไรดีแต่หนี้สูง</v>
      </c>
      <c r="DM50" s="20" t="str">
        <f t="shared" si="286"/>
        <v>ดีพอใช้: กำไรดี หนี้ไม่เยอะ</v>
      </c>
      <c r="DN50" s="20" t="str">
        <f t="shared" si="286"/>
        <v>กลาง ๆ: กำไรไม่เด่น หนี้ไม่เยอะ</v>
      </c>
      <c r="DO50" s="20" t="str">
        <f t="shared" si="286"/>
        <v>กลาง ๆ: กำไรไม่เด่น หนี้ไม่เยอะ</v>
      </c>
      <c r="DP50" s="20" t="str">
        <f t="shared" si="286"/>
        <v>เสี่ยง: กำไรดีแต่หนี้สูง</v>
      </c>
      <c r="DQ50" s="20" t="str">
        <f t="shared" si="286"/>
        <v>กลาง ๆ: กำไรไม่เด่น หนี้ไม่เยอะ</v>
      </c>
      <c r="DR50" s="20" t="str">
        <f t="shared" si="286"/>
        <v>กลาง ๆ: กำไรไม่เด่น หนี้ไม่เยอะ</v>
      </c>
      <c r="DS50" s="20" t="str">
        <f t="shared" si="286"/>
        <v>ดีพอใช้: กำไรดี หนี้ไม่เยอะ</v>
      </c>
      <c r="DT50" s="20" t="str">
        <f t="shared" si="286"/>
        <v>ดีพอใช้: กำไรดี หนี้ไม่เยอะ</v>
      </c>
      <c r="DU50" s="20" t="str">
        <f t="shared" si="286"/>
        <v>เสี่ยง: กำไรดีแต่หนี้สูง</v>
      </c>
      <c r="DV50" s="20" t="str">
        <f t="shared" si="286"/>
        <v>เสี่ยง: กำไรดีแต่หนี้สูง</v>
      </c>
      <c r="DW50" s="20" t="str">
        <f t="shared" si="286"/>
        <v>กลาง ๆ: กำไรไม่เด่น หนี้ไม่เยอะ</v>
      </c>
      <c r="DX50" s="20" t="str">
        <f t="shared" ref="DX50:FA50" si="287">IF(AND(DX29&gt;50,DX30&lt;0.5),"ดีมาก: ROE สูงมาก หนี้ต่ำ",
IF(AND(DX29&gt;15,DX30&lt;1),"ดีพอใช้: กำไรดี หนี้ไม่เยอะ",
IF(AND(DX29&gt;15,DX30&gt;=1),"เสี่ยง: กำไรดีแต่หนี้สูง",
IF(AND(DX29&lt;10,DX30&gt;=1),"อ่อนแอ: กำไรต่ำ หนี้สูง",
"กลาง ๆ: กำไรไม่เด่น หนี้ไม่เยอะ"))))</f>
        <v>กลาง ๆ: กำไรไม่เด่น หนี้ไม่เยอะ</v>
      </c>
      <c r="DY50" s="20" t="str">
        <f t="shared" si="287"/>
        <v>อ่อนแอ: กำไรต่ำ หนี้สูง</v>
      </c>
      <c r="DZ50" s="20" t="str">
        <f t="shared" si="287"/>
        <v>กลาง ๆ: กำไรไม่เด่น หนี้ไม่เยอะ</v>
      </c>
      <c r="EA50" s="20" t="str">
        <f t="shared" si="287"/>
        <v>กลาง ๆ: กำไรไม่เด่น หนี้ไม่เยอะ</v>
      </c>
      <c r="EB50" s="20" t="str">
        <f t="shared" si="287"/>
        <v>กลาง ๆ: กำไรไม่เด่น หนี้ไม่เยอะ</v>
      </c>
      <c r="EC50" s="20" t="str">
        <f t="shared" si="287"/>
        <v>ดีพอใช้: กำไรดี หนี้ไม่เยอะ</v>
      </c>
      <c r="ED50" s="20" t="str">
        <f t="shared" si="287"/>
        <v>เสี่ยง: กำไรดีแต่หนี้สูง</v>
      </c>
      <c r="EE50" s="20" t="str">
        <f t="shared" si="287"/>
        <v>กลาง ๆ: กำไรไม่เด่น หนี้ไม่เยอะ</v>
      </c>
      <c r="EF50" s="20" t="str">
        <f t="shared" si="287"/>
        <v>กลาง ๆ: กำไรไม่เด่น หนี้ไม่เยอะ</v>
      </c>
      <c r="EG50" s="20" t="str">
        <f t="shared" si="287"/>
        <v>ดีพอใช้: กำไรดี หนี้ไม่เยอะ</v>
      </c>
      <c r="EH50" s="20" t="str">
        <f t="shared" si="287"/>
        <v>ดีพอใช้: กำไรดี หนี้ไม่เยอะ</v>
      </c>
      <c r="EI50" s="20" t="str">
        <f t="shared" si="287"/>
        <v>กลาง ๆ: กำไรไม่เด่น หนี้ไม่เยอะ</v>
      </c>
      <c r="EJ50" s="20" t="str">
        <f t="shared" si="287"/>
        <v>อ่อนแอ: กำไรต่ำ หนี้สูง</v>
      </c>
      <c r="EK50" s="20" t="str">
        <f t="shared" si="287"/>
        <v>กลาง ๆ: กำไรไม่เด่น หนี้ไม่เยอะ</v>
      </c>
      <c r="EL50" s="20" t="str">
        <f t="shared" si="287"/>
        <v>ดีพอใช้: กำไรดี หนี้ไม่เยอะ</v>
      </c>
      <c r="EM50" s="20" t="str">
        <f t="shared" si="287"/>
        <v>ดีพอใช้: กำไรดี หนี้ไม่เยอะ</v>
      </c>
      <c r="EN50" s="20" t="str">
        <f t="shared" si="287"/>
        <v>กลาง ๆ: กำไรไม่เด่น หนี้ไม่เยอะ</v>
      </c>
      <c r="EO50" s="46" t="str">
        <f t="shared" si="287"/>
        <v>อ่อนแอ: กำไรต่ำ หนี้สูง</v>
      </c>
      <c r="EZ50" s="43" t="str">
        <f t="shared" si="287"/>
        <v>กลาง ๆ: กำไรไม่เด่น หนี้ไม่เยอะ</v>
      </c>
      <c r="FA50" s="30" t="str">
        <f t="shared" si="287"/>
        <v>ดีพอใช้: กำไรดี หนี้ไม่เยอะ</v>
      </c>
      <c r="FB50" s="30" t="str">
        <f t="shared" ref="FB50:HM50" si="288">IF(AND(FB29&gt;50,FB30&lt;0.5),"ดีมาก: ROE สูงมาก หนี้ต่ำ",
IF(AND(FB29&gt;15,FB30&lt;1),"ดีพอใช้: กำไรดี หนี้ไม่เยอะ",
IF(AND(FB29&gt;15,FB30&gt;=1),"เสี่ยง: กำไรดีแต่หนี้สูง",
IF(AND(FB29&lt;10,FB30&gt;=1),"อ่อนแอ: กำไรต่ำ หนี้สูง",
"กลาง ๆ: กำไรไม่เด่น หนี้ไม่เยอะ"))))</f>
        <v>กลาง ๆ: กำไรไม่เด่น หนี้ไม่เยอะ</v>
      </c>
      <c r="FC50" s="30" t="str">
        <f t="shared" si="288"/>
        <v>กลาง ๆ: กำไรไม่เด่น หนี้ไม่เยอะ</v>
      </c>
      <c r="FD50" s="30" t="str">
        <f t="shared" si="288"/>
        <v>อ่อนแอ: กำไรต่ำ หนี้สูง</v>
      </c>
      <c r="FE50" s="30" t="str">
        <f t="shared" si="288"/>
        <v>เสี่ยง: กำไรดีแต่หนี้สูง</v>
      </c>
      <c r="FF50" s="30" t="str">
        <f t="shared" si="288"/>
        <v>กลาง ๆ: กำไรไม่เด่น หนี้ไม่เยอะ</v>
      </c>
      <c r="FG50" s="30" t="str">
        <f t="shared" si="288"/>
        <v>กลาง ๆ: กำไรไม่เด่น หนี้ไม่เยอะ</v>
      </c>
      <c r="FH50" s="30" t="str">
        <f t="shared" si="288"/>
        <v>กลาง ๆ: กำไรไม่เด่น หนี้ไม่เยอะ</v>
      </c>
      <c r="FI50" s="30" t="str">
        <f t="shared" si="288"/>
        <v>อ่อนแอ: กำไรต่ำ หนี้สูง</v>
      </c>
      <c r="FJ50" s="30" t="str">
        <f t="shared" si="288"/>
        <v>กลาง ๆ: กำไรไม่เด่น หนี้ไม่เยอะ</v>
      </c>
      <c r="FK50" s="30" t="str">
        <f t="shared" si="288"/>
        <v>กลาง ๆ: กำไรไม่เด่น หนี้ไม่เยอะ</v>
      </c>
      <c r="FL50" s="30" t="str">
        <f t="shared" si="288"/>
        <v>อ่อนแอ: กำไรต่ำ หนี้สูง</v>
      </c>
      <c r="FM50" s="30" t="str">
        <f t="shared" si="288"/>
        <v>กลาง ๆ: กำไรไม่เด่น หนี้ไม่เยอะ</v>
      </c>
      <c r="FN50" s="30" t="str">
        <f t="shared" si="288"/>
        <v>เสี่ยง: กำไรดีแต่หนี้สูง</v>
      </c>
      <c r="FO50" s="30" t="str">
        <f t="shared" si="288"/>
        <v>ดีพอใช้: กำไรดี หนี้ไม่เยอะ</v>
      </c>
      <c r="FP50" s="30" t="str">
        <f t="shared" si="288"/>
        <v>เสี่ยง: กำไรดีแต่หนี้สูง</v>
      </c>
      <c r="FQ50" s="30" t="str">
        <f t="shared" si="288"/>
        <v>กลาง ๆ: กำไรไม่เด่น หนี้ไม่เยอะ</v>
      </c>
      <c r="FR50" s="30" t="str">
        <f t="shared" si="288"/>
        <v>กลาง ๆ: กำไรไม่เด่น หนี้ไม่เยอะ</v>
      </c>
      <c r="FS50" s="30" t="str">
        <f t="shared" si="288"/>
        <v>กลาง ๆ: กำไรไม่เด่น หนี้ไม่เยอะ</v>
      </c>
      <c r="FT50" s="30" t="str">
        <f t="shared" si="288"/>
        <v>เสี่ยง: กำไรดีแต่หนี้สูง</v>
      </c>
      <c r="FU50" s="30" t="str">
        <f t="shared" si="288"/>
        <v>ดีพอใช้: กำไรดี หนี้ไม่เยอะ</v>
      </c>
      <c r="FV50" s="30" t="str">
        <f t="shared" si="288"/>
        <v>กลาง ๆ: กำไรไม่เด่น หนี้ไม่เยอะ</v>
      </c>
      <c r="FW50" s="30" t="str">
        <f t="shared" si="288"/>
        <v>ดีพอใช้: กำไรดี หนี้ไม่เยอะ</v>
      </c>
      <c r="FX50" s="30" t="str">
        <f t="shared" si="288"/>
        <v>อ่อนแอ: กำไรต่ำ หนี้สูง</v>
      </c>
      <c r="FY50" s="30" t="str">
        <f t="shared" si="288"/>
        <v>อ่อนแอ: กำไรต่ำ หนี้สูง</v>
      </c>
      <c r="FZ50" s="30" t="str">
        <f t="shared" si="288"/>
        <v>กลาง ๆ: กำไรไม่เด่น หนี้ไม่เยอะ</v>
      </c>
      <c r="GA50" s="30" t="str">
        <f t="shared" si="288"/>
        <v>ดีพอใช้: กำไรดี หนี้ไม่เยอะ</v>
      </c>
      <c r="GB50" s="30" t="str">
        <f t="shared" si="288"/>
        <v>กลาง ๆ: กำไรไม่เด่น หนี้ไม่เยอะ</v>
      </c>
      <c r="GC50" s="30" t="str">
        <f t="shared" si="288"/>
        <v>อ่อนแอ: กำไรต่ำ หนี้สูง</v>
      </c>
      <c r="GD50" s="30" t="str">
        <f t="shared" si="288"/>
        <v>ดีพอใช้: กำไรดี หนี้ไม่เยอะ</v>
      </c>
      <c r="GE50" s="30" t="str">
        <f t="shared" si="288"/>
        <v>ดีพอใช้: กำไรดี หนี้ไม่เยอะ</v>
      </c>
      <c r="GF50" s="30" t="str">
        <f t="shared" si="288"/>
        <v>ดีพอใช้: กำไรดี หนี้ไม่เยอะ</v>
      </c>
      <c r="GG50" s="30" t="str">
        <f t="shared" si="288"/>
        <v>อ่อนแอ: กำไรต่ำ หนี้สูง</v>
      </c>
      <c r="GH50" s="30" t="str">
        <f t="shared" si="288"/>
        <v>ดีพอใช้: กำไรดี หนี้ไม่เยอะ</v>
      </c>
      <c r="GI50" s="30" t="str">
        <f t="shared" si="288"/>
        <v>อ่อนแอ: กำไรต่ำ หนี้สูง</v>
      </c>
      <c r="GJ50" s="30" t="str">
        <f t="shared" si="288"/>
        <v>ดีพอใช้: กำไรดี หนี้ไม่เยอะ</v>
      </c>
      <c r="GK50" s="30" t="str">
        <f t="shared" si="288"/>
        <v>เสี่ยง: กำไรดีแต่หนี้สูง</v>
      </c>
      <c r="GL50" s="30" t="str">
        <f t="shared" si="288"/>
        <v>เสี่ยง: กำไรดีแต่หนี้สูง</v>
      </c>
      <c r="GM50" s="30" t="str">
        <f t="shared" si="288"/>
        <v>กลาง ๆ: กำไรไม่เด่น หนี้ไม่เยอะ</v>
      </c>
      <c r="GN50" s="30" t="str">
        <f t="shared" si="288"/>
        <v>กลาง ๆ: กำไรไม่เด่น หนี้ไม่เยอะ</v>
      </c>
      <c r="GO50" s="30" t="str">
        <f t="shared" si="288"/>
        <v>อ่อนแอ: กำไรต่ำ หนี้สูง</v>
      </c>
      <c r="GP50" s="30" t="str">
        <f t="shared" si="288"/>
        <v>เสี่ยง: กำไรดีแต่หนี้สูง</v>
      </c>
      <c r="GQ50" s="30" t="str">
        <f t="shared" si="288"/>
        <v>กลาง ๆ: กำไรไม่เด่น หนี้ไม่เยอะ</v>
      </c>
      <c r="GR50" s="30" t="str">
        <f t="shared" si="288"/>
        <v>กลาง ๆ: กำไรไม่เด่น หนี้ไม่เยอะ</v>
      </c>
      <c r="GS50" s="30" t="str">
        <f t="shared" si="288"/>
        <v>กลาง ๆ: กำไรไม่เด่น หนี้ไม่เยอะ</v>
      </c>
      <c r="GT50" s="30" t="str">
        <f t="shared" si="288"/>
        <v>กลาง ๆ: กำไรไม่เด่น หนี้ไม่เยอะ</v>
      </c>
      <c r="GU50" s="30" t="str">
        <f t="shared" si="288"/>
        <v>กลาง ๆ: กำไรไม่เด่น หนี้ไม่เยอะ</v>
      </c>
      <c r="GV50" s="30" t="str">
        <f t="shared" si="288"/>
        <v>กลาง ๆ: กำไรไม่เด่น หนี้ไม่เยอะ</v>
      </c>
      <c r="GW50" s="30" t="str">
        <f t="shared" si="288"/>
        <v>กลาง ๆ: กำไรไม่เด่น หนี้ไม่เยอะ</v>
      </c>
      <c r="GX50" s="30" t="str">
        <f t="shared" si="288"/>
        <v>กลาง ๆ: กำไรไม่เด่น หนี้ไม่เยอะ</v>
      </c>
      <c r="GY50" s="30" t="str">
        <f t="shared" si="288"/>
        <v>กลาง ๆ: กำไรไม่เด่น หนี้ไม่เยอะ</v>
      </c>
      <c r="GZ50" s="30" t="str">
        <f t="shared" si="288"/>
        <v>กลาง ๆ: กำไรไม่เด่น หนี้ไม่เยอะ</v>
      </c>
      <c r="HA50" s="30" t="str">
        <f t="shared" si="288"/>
        <v>กลาง ๆ: กำไรไม่เด่น หนี้ไม่เยอะ</v>
      </c>
      <c r="HB50" s="30" t="str">
        <f t="shared" si="288"/>
        <v>กลาง ๆ: กำไรไม่เด่น หนี้ไม่เยอะ</v>
      </c>
      <c r="HC50" s="30" t="str">
        <f t="shared" si="288"/>
        <v>ดีพอใช้: กำไรดี หนี้ไม่เยอะ</v>
      </c>
      <c r="HD50" s="30" t="str">
        <f t="shared" si="288"/>
        <v>ดีพอใช้: กำไรดี หนี้ไม่เยอะ</v>
      </c>
      <c r="HE50" s="30" t="str">
        <f t="shared" si="288"/>
        <v>ดีพอใช้: กำไรดี หนี้ไม่เยอะ</v>
      </c>
      <c r="HF50" s="30" t="str">
        <f t="shared" si="288"/>
        <v>กลาง ๆ: กำไรไม่เด่น หนี้ไม่เยอะ</v>
      </c>
      <c r="HG50" s="30" t="str">
        <f t="shared" si="288"/>
        <v>อ่อนแอ: กำไรต่ำ หนี้สูง</v>
      </c>
      <c r="HH50" s="30" t="str">
        <f t="shared" si="288"/>
        <v>กลาง ๆ: กำไรไม่เด่น หนี้ไม่เยอะ</v>
      </c>
      <c r="HI50" s="20" t="str">
        <f t="shared" si="288"/>
        <v>ดีมาก: ROE สูงมาก หนี้ต่ำ</v>
      </c>
      <c r="HJ50" s="20" t="str">
        <f t="shared" si="288"/>
        <v>กลาง ๆ: กำไรไม่เด่น หนี้ไม่เยอะ</v>
      </c>
      <c r="HK50" s="20" t="str">
        <f t="shared" si="288"/>
        <v>ดีพอใช้: กำไรดี หนี้ไม่เยอะ</v>
      </c>
      <c r="HL50" s="20" t="str">
        <f t="shared" si="288"/>
        <v>กลาง ๆ: กำไรไม่เด่น หนี้ไม่เยอะ</v>
      </c>
      <c r="HM50" s="30" t="str">
        <f t="shared" si="288"/>
        <v>ดีพอใช้: กำไรดี หนี้ไม่เยอะ</v>
      </c>
      <c r="HN50" s="30" t="str">
        <f t="shared" ref="HN50:HP50" si="289">IF(AND(HN29&gt;50,HN30&lt;0.5),"ดีมาก: ROE สูงมาก หนี้ต่ำ",
IF(AND(HN29&gt;15,HN30&lt;1),"ดีพอใช้: กำไรดี หนี้ไม่เยอะ",
IF(AND(HN29&gt;15,HN30&gt;=1),"เสี่ยง: กำไรดีแต่หนี้สูง",
IF(AND(HN29&lt;10,HN30&gt;=1),"อ่อนแอ: กำไรต่ำ หนี้สูง",
"กลาง ๆ: กำไรไม่เด่น หนี้ไม่เยอะ"))))</f>
        <v>เสี่ยง: กำไรดีแต่หนี้สูง</v>
      </c>
      <c r="HO50" s="30" t="str">
        <f t="shared" si="289"/>
        <v>กลาง ๆ: กำไรไม่เด่น หนี้ไม่เยอะ</v>
      </c>
      <c r="HP50" s="30" t="str">
        <f t="shared" si="289"/>
        <v>ดีพอใช้: กำไรดี หนี้ไม่เยอะ</v>
      </c>
      <c r="HQ50" s="30" t="str">
        <f t="shared" ref="HQ50:HV50" si="290">IF(AND(HQ29&gt;50,HQ30&lt;0.5),"ดีมาก: ROE สูงมาก หนี้ต่ำ",
IF(AND(HQ29&gt;15,HQ30&lt;1),"ดีพอใช้: กำไรดี หนี้ไม่เยอะ",
IF(AND(HQ29&gt;15,HQ30&gt;=1),"เสี่ยง: กำไรดีแต่หนี้สูง",
IF(AND(HQ29&lt;10,HQ30&gt;=1),"อ่อนแอ: กำไรต่ำ หนี้สูง",
"กลาง ๆ: กำไรไม่เด่น หนี้ไม่เยอะ"))))</f>
        <v>กลาง ๆ: กำไรไม่เด่น หนี้ไม่เยอะ</v>
      </c>
      <c r="HR50" s="30" t="str">
        <f t="shared" si="290"/>
        <v>กลาง ๆ: กำไรไม่เด่น หนี้ไม่เยอะ</v>
      </c>
      <c r="HS50" s="30" t="str">
        <f t="shared" si="290"/>
        <v>กลาง ๆ: กำไรไม่เด่น หนี้ไม่เยอะ</v>
      </c>
      <c r="HT50" s="30" t="str">
        <f t="shared" si="290"/>
        <v>ดีพอใช้: กำไรดี หนี้ไม่เยอะ</v>
      </c>
      <c r="HU50" s="30" t="str">
        <f t="shared" si="290"/>
        <v>ดีพอใช้: กำไรดี หนี้ไม่เยอะ</v>
      </c>
      <c r="HV50" s="21" t="str">
        <f t="shared" si="290"/>
        <v>กลาง ๆ: กำไรไม่เด่น หนี้ไม่เยอะ</v>
      </c>
      <c r="HW50" s="20" t="str">
        <f t="shared" ref="HW50:HX50" si="291">IF(AND(HW29&gt;50,HW30&lt;0.5),"ดีมาก: ROE สูงมาก หนี้ต่ำ",
IF(AND(HW29&gt;15,HW30&lt;1),"ดีพอใช้: กำไรดี หนี้ไม่เยอะ",
IF(AND(HW29&gt;15,HW30&gt;=1),"เสี่ยง: กำไรดีแต่หนี้สูง",
IF(AND(HW29&lt;10,HW30&gt;=1),"อ่อนแอ: กำไรต่ำ หนี้สูง",
"กลาง ๆ: กำไรไม่เด่น หนี้ไม่เยอะ"))))</f>
        <v>ดีมาก: ROE สูงมาก หนี้ต่ำ</v>
      </c>
      <c r="HX50" s="20" t="str">
        <f t="shared" ref="HX50:HY50" si="292">IF(AND(HX29&gt;50,HX30&lt;0.5),"ดีมาก: ROE สูงมาก หนี้ต่ำ",
IF(AND(HX29&gt;15,HX30&lt;1),"ดีพอใช้: กำไรดี หนี้ไม่เยอะ",
IF(AND(HX29&gt;15,HX30&gt;=1),"เสี่ยง: กำไรดีแต่หนี้สูง",
IF(AND(HX29&lt;10,HX30&gt;=1),"อ่อนแอ: กำไรต่ำ หนี้สูง",
"กลาง ๆ: กำไรไม่เด่น หนี้ไม่เยอะ"))))</f>
        <v>ดีพอใช้: กำไรดี หนี้ไม่เยอะ</v>
      </c>
      <c r="HY50" s="20" t="str">
        <f t="shared" si="292"/>
        <v>เสี่ยง: กำไรดีแต่หนี้สูง</v>
      </c>
    </row>
    <row r="51" spans="1:233" ht="24" customHeight="1" x14ac:dyDescent="0.5">
      <c r="A51" s="51"/>
      <c r="B51" s="22" t="e">
        <f t="shared" ref="B51:C51" si="293">IF((B22/B7)&lt;1, "✅ ราคาต่ำเมื่อเทียบกับ Growth", "✘ ราคานำหน้า Growth")</f>
        <v>#DIV/0!</v>
      </c>
      <c r="C51" s="30" t="str">
        <f t="shared" si="293"/>
        <v>✅ ราคาต่ำเมื่อเทียบกับ Growth</v>
      </c>
      <c r="D51" s="30" t="e">
        <f t="shared" ref="D51:AB51" si="294">IF((D22/D7)&lt;1, "✅ ราคาต่ำเมื่อเทียบกับ Growth", "✘ ราคานำหน้า Growth")</f>
        <v>#DIV/0!</v>
      </c>
      <c r="E51" s="30" t="e">
        <f t="shared" si="294"/>
        <v>#DIV/0!</v>
      </c>
      <c r="F51" s="30" t="e">
        <f t="shared" si="294"/>
        <v>#DIV/0!</v>
      </c>
      <c r="G51" s="30" t="e">
        <f t="shared" si="294"/>
        <v>#DIV/0!</v>
      </c>
      <c r="H51" s="30" t="e">
        <f t="shared" si="294"/>
        <v>#DIV/0!</v>
      </c>
      <c r="I51" s="30" t="str">
        <f t="shared" si="294"/>
        <v>✅ ราคาต่ำเมื่อเทียบกับ Growth</v>
      </c>
      <c r="J51" s="30" t="str">
        <f t="shared" si="294"/>
        <v>✅ ราคาต่ำเมื่อเทียบกับ Growth</v>
      </c>
      <c r="K51" s="30" t="str">
        <f t="shared" si="294"/>
        <v>✅ ราคาต่ำเมื่อเทียบกับ Growth</v>
      </c>
      <c r="L51" s="30" t="str">
        <f t="shared" si="294"/>
        <v>✅ ราคาต่ำเมื่อเทียบกับ Growth</v>
      </c>
      <c r="M51" s="30" t="str">
        <f t="shared" si="294"/>
        <v>✅ ราคาต่ำเมื่อเทียบกับ Growth</v>
      </c>
      <c r="N51" s="30" t="str">
        <f t="shared" si="294"/>
        <v>✅ ราคาต่ำเมื่อเทียบกับ Growth</v>
      </c>
      <c r="O51" s="30" t="str">
        <f t="shared" si="294"/>
        <v>✅ ราคาต่ำเมื่อเทียบกับ Growth</v>
      </c>
      <c r="P51" s="30" t="str">
        <f t="shared" si="294"/>
        <v>✅ ราคาต่ำเมื่อเทียบกับ Growth</v>
      </c>
      <c r="Q51" s="30" t="e">
        <f t="shared" si="294"/>
        <v>#DIV/0!</v>
      </c>
      <c r="R51" s="30" t="str">
        <f t="shared" si="294"/>
        <v>✅ ราคาต่ำเมื่อเทียบกับ Growth</v>
      </c>
      <c r="S51" s="30" t="str">
        <f t="shared" si="294"/>
        <v>✅ ราคาต่ำเมื่อเทียบกับ Growth</v>
      </c>
      <c r="T51" s="30" t="str">
        <f t="shared" si="294"/>
        <v>✅ ราคาต่ำเมื่อเทียบกับ Growth</v>
      </c>
      <c r="U51" s="30" t="str">
        <f t="shared" si="294"/>
        <v>✅ ราคาต่ำเมื่อเทียบกับ Growth</v>
      </c>
      <c r="V51" s="30" t="str">
        <f t="shared" si="294"/>
        <v>✅ ราคาต่ำเมื่อเทียบกับ Growth</v>
      </c>
      <c r="W51" s="30" t="str">
        <f t="shared" si="294"/>
        <v>✅ ราคาต่ำเมื่อเทียบกับ Growth</v>
      </c>
      <c r="X51" s="30" t="str">
        <f t="shared" si="294"/>
        <v>✅ ราคาต่ำเมื่อเทียบกับ Growth</v>
      </c>
      <c r="Y51" s="30" t="str">
        <f t="shared" si="294"/>
        <v>✅ ราคาต่ำเมื่อเทียบกับ Growth</v>
      </c>
      <c r="Z51" s="30" t="str">
        <f t="shared" si="294"/>
        <v>✅ ราคาต่ำเมื่อเทียบกับ Growth</v>
      </c>
      <c r="AA51" s="30" t="str">
        <f t="shared" si="294"/>
        <v>✅ ราคาต่ำเมื่อเทียบกับ Growth</v>
      </c>
      <c r="AB51" s="30" t="str">
        <f t="shared" si="294"/>
        <v>✅ ราคาต่ำเมื่อเทียบกับ Growth</v>
      </c>
      <c r="AC51" s="30" t="str">
        <f t="shared" ref="AC51:BE51" si="295">IF((AC22/AC7)&lt;1, "✅ ราคาต่ำเมื่อเทียบกับ Growth", "✘ ราคานำหน้า Growth")</f>
        <v>✅ ราคาต่ำเมื่อเทียบกับ Growth</v>
      </c>
      <c r="AD51" s="30" t="str">
        <f t="shared" si="295"/>
        <v>✅ ราคาต่ำเมื่อเทียบกับ Growth</v>
      </c>
      <c r="AE51" s="30" t="str">
        <f t="shared" si="295"/>
        <v>✅ ราคาต่ำเมื่อเทียบกับ Growth</v>
      </c>
      <c r="AF51" s="30" t="str">
        <f t="shared" si="295"/>
        <v>✅ ราคาต่ำเมื่อเทียบกับ Growth</v>
      </c>
      <c r="AG51" s="30" t="str">
        <f t="shared" si="295"/>
        <v>✅ ราคาต่ำเมื่อเทียบกับ Growth</v>
      </c>
      <c r="AH51" s="30" t="str">
        <f t="shared" si="295"/>
        <v>✅ ราคาต่ำเมื่อเทียบกับ Growth</v>
      </c>
      <c r="AI51" s="30" t="str">
        <f t="shared" si="295"/>
        <v>✅ ราคาต่ำเมื่อเทียบกับ Growth</v>
      </c>
      <c r="AJ51" s="30" t="str">
        <f t="shared" si="295"/>
        <v>✅ ราคาต่ำเมื่อเทียบกับ Growth</v>
      </c>
      <c r="AK51" s="30" t="str">
        <f t="shared" si="295"/>
        <v>✅ ราคาต่ำเมื่อเทียบกับ Growth</v>
      </c>
      <c r="AL51" s="30" t="str">
        <f t="shared" si="295"/>
        <v>✅ ราคาต่ำเมื่อเทียบกับ Growth</v>
      </c>
      <c r="AM51" s="30" t="str">
        <f t="shared" si="295"/>
        <v>✅ ราคาต่ำเมื่อเทียบกับ Growth</v>
      </c>
      <c r="AN51" s="30" t="str">
        <f t="shared" si="295"/>
        <v>✅ ราคาต่ำเมื่อเทียบกับ Growth</v>
      </c>
      <c r="AO51" s="30" t="str">
        <f t="shared" si="295"/>
        <v>✅ ราคาต่ำเมื่อเทียบกับ Growth</v>
      </c>
      <c r="AP51" s="30" t="str">
        <f t="shared" si="295"/>
        <v>✅ ราคาต่ำเมื่อเทียบกับ Growth</v>
      </c>
      <c r="AQ51" s="30" t="str">
        <f t="shared" si="295"/>
        <v>✅ ราคาต่ำเมื่อเทียบกับ Growth</v>
      </c>
      <c r="AR51" s="30" t="str">
        <f t="shared" si="295"/>
        <v>✅ ราคาต่ำเมื่อเทียบกับ Growth</v>
      </c>
      <c r="AS51" s="30" t="str">
        <f t="shared" si="295"/>
        <v>✅ ราคาต่ำเมื่อเทียบกับ Growth</v>
      </c>
      <c r="AT51" s="30" t="str">
        <f t="shared" si="295"/>
        <v>✅ ราคาต่ำเมื่อเทียบกับ Growth</v>
      </c>
      <c r="AU51" s="30" t="str">
        <f t="shared" si="295"/>
        <v>✅ ราคาต่ำเมื่อเทียบกับ Growth</v>
      </c>
      <c r="AV51" s="30" t="str">
        <f t="shared" si="295"/>
        <v>✅ ราคาต่ำเมื่อเทียบกับ Growth</v>
      </c>
      <c r="AW51" s="30" t="str">
        <f t="shared" si="295"/>
        <v>✅ ราคาต่ำเมื่อเทียบกับ Growth</v>
      </c>
      <c r="AX51" s="30" t="str">
        <f t="shared" si="295"/>
        <v>✅ ราคาต่ำเมื่อเทียบกับ Growth</v>
      </c>
      <c r="AY51" s="30" t="str">
        <f t="shared" si="295"/>
        <v>✅ ราคาต่ำเมื่อเทียบกับ Growth</v>
      </c>
      <c r="AZ51" s="30" t="str">
        <f t="shared" si="295"/>
        <v>✅ ราคาต่ำเมื่อเทียบกับ Growth</v>
      </c>
      <c r="BA51" s="30" t="str">
        <f t="shared" si="295"/>
        <v>✅ ราคาต่ำเมื่อเทียบกับ Growth</v>
      </c>
      <c r="BB51" s="30" t="str">
        <f t="shared" si="295"/>
        <v>✅ ราคาต่ำเมื่อเทียบกับ Growth</v>
      </c>
      <c r="BC51" s="30" t="str">
        <f t="shared" si="295"/>
        <v>✅ ราคาต่ำเมื่อเทียบกับ Growth</v>
      </c>
      <c r="BD51" s="30" t="str">
        <f t="shared" si="295"/>
        <v>✅ ราคาต่ำเมื่อเทียบกับ Growth</v>
      </c>
      <c r="BE51" s="30" t="str">
        <f t="shared" si="295"/>
        <v>✅ ราคาต่ำเมื่อเทียบกับ Growth</v>
      </c>
      <c r="BF51" s="30" t="str">
        <f t="shared" ref="BF51:BK51" si="296">IF((BF22/BF7)&lt;1, "✅ ราคาต่ำเมื่อเทียบกับ Growth", "✘ ราคานำหน้า Growth")</f>
        <v>✅ ราคาต่ำเมื่อเทียบกับ Growth</v>
      </c>
      <c r="BG51" s="30" t="str">
        <f t="shared" si="296"/>
        <v>✅ ราคาต่ำเมื่อเทียบกับ Growth</v>
      </c>
      <c r="BH51" s="30" t="str">
        <f t="shared" si="296"/>
        <v>✅ ราคาต่ำเมื่อเทียบกับ Growth</v>
      </c>
      <c r="BI51" s="30" t="str">
        <f t="shared" si="296"/>
        <v>✅ ราคาต่ำเมื่อเทียบกับ Growth</v>
      </c>
      <c r="BJ51" s="30" t="e">
        <f t="shared" si="296"/>
        <v>#DIV/0!</v>
      </c>
      <c r="BK51" s="30" t="str">
        <f t="shared" si="296"/>
        <v>✅ ราคาต่ำเมื่อเทียบกับ Growth</v>
      </c>
      <c r="BL51" s="30" t="str">
        <f t="shared" ref="BL51:DW51" si="297">IF((BL22/BL7)&lt;1, "✅ ราคาต่ำเมื่อเทียบกับ Growth", "✘ ราคานำหน้า Growth")</f>
        <v>✅ ราคาต่ำเมื่อเทียบกับ Growth</v>
      </c>
      <c r="BM51" s="30" t="str">
        <f t="shared" si="297"/>
        <v>✅ ราคาต่ำเมื่อเทียบกับ Growth</v>
      </c>
      <c r="BN51" s="30" t="str">
        <f t="shared" si="297"/>
        <v>✅ ราคาต่ำเมื่อเทียบกับ Growth</v>
      </c>
      <c r="BO51" s="30" t="str">
        <f t="shared" si="297"/>
        <v>✅ ราคาต่ำเมื่อเทียบกับ Growth</v>
      </c>
      <c r="BP51" s="30" t="str">
        <f t="shared" si="297"/>
        <v>✅ ราคาต่ำเมื่อเทียบกับ Growth</v>
      </c>
      <c r="BQ51" s="30" t="str">
        <f t="shared" si="297"/>
        <v>✅ ราคาต่ำเมื่อเทียบกับ Growth</v>
      </c>
      <c r="BR51" s="30" t="str">
        <f t="shared" si="297"/>
        <v>✅ ราคาต่ำเมื่อเทียบกับ Growth</v>
      </c>
      <c r="BS51" s="30" t="str">
        <f t="shared" si="297"/>
        <v>✅ ราคาต่ำเมื่อเทียบกับ Growth</v>
      </c>
      <c r="BT51" s="30" t="str">
        <f t="shared" si="297"/>
        <v>✅ ราคาต่ำเมื่อเทียบกับ Growth</v>
      </c>
      <c r="BU51" s="30" t="str">
        <f t="shared" si="297"/>
        <v>✅ ราคาต่ำเมื่อเทียบกับ Growth</v>
      </c>
      <c r="BV51" s="30" t="str">
        <f t="shared" si="297"/>
        <v>✅ ราคาต่ำเมื่อเทียบกับ Growth</v>
      </c>
      <c r="BW51" s="30" t="str">
        <f t="shared" si="297"/>
        <v>✅ ราคาต่ำเมื่อเทียบกับ Growth</v>
      </c>
      <c r="BX51" s="30" t="str">
        <f t="shared" si="297"/>
        <v>✅ ราคาต่ำเมื่อเทียบกับ Growth</v>
      </c>
      <c r="BY51" s="30" t="str">
        <f t="shared" si="297"/>
        <v>✅ ราคาต่ำเมื่อเทียบกับ Growth</v>
      </c>
      <c r="BZ51" s="30" t="str">
        <f t="shared" si="297"/>
        <v>✅ ราคาต่ำเมื่อเทียบกับ Growth</v>
      </c>
      <c r="CA51" s="30" t="str">
        <f t="shared" si="297"/>
        <v>✅ ราคาต่ำเมื่อเทียบกับ Growth</v>
      </c>
      <c r="CB51" s="30" t="str">
        <f t="shared" si="297"/>
        <v>✅ ราคาต่ำเมื่อเทียบกับ Growth</v>
      </c>
      <c r="CC51" s="30" t="str">
        <f t="shared" si="297"/>
        <v>✅ ราคาต่ำเมื่อเทียบกับ Growth</v>
      </c>
      <c r="CD51" s="30" t="str">
        <f t="shared" si="297"/>
        <v>✅ ราคาต่ำเมื่อเทียบกับ Growth</v>
      </c>
      <c r="CE51" s="30" t="str">
        <f t="shared" si="297"/>
        <v>✅ ราคาต่ำเมื่อเทียบกับ Growth</v>
      </c>
      <c r="CF51" s="30" t="str">
        <f t="shared" si="297"/>
        <v>✅ ราคาต่ำเมื่อเทียบกับ Growth</v>
      </c>
      <c r="CG51" s="30" t="str">
        <f t="shared" si="297"/>
        <v>✅ ราคาต่ำเมื่อเทียบกับ Growth</v>
      </c>
      <c r="CH51" s="30" t="str">
        <f t="shared" si="297"/>
        <v>✅ ราคาต่ำเมื่อเทียบกับ Growth</v>
      </c>
      <c r="CI51" s="30" t="str">
        <f t="shared" si="297"/>
        <v>✅ ราคาต่ำเมื่อเทียบกับ Growth</v>
      </c>
      <c r="CJ51" s="30" t="str">
        <f t="shared" si="297"/>
        <v>✅ ราคาต่ำเมื่อเทียบกับ Growth</v>
      </c>
      <c r="CK51" s="30" t="str">
        <f t="shared" si="297"/>
        <v>✅ ราคาต่ำเมื่อเทียบกับ Growth</v>
      </c>
      <c r="CL51" s="30" t="str">
        <f t="shared" si="297"/>
        <v>✅ ราคาต่ำเมื่อเทียบกับ Growth</v>
      </c>
      <c r="CM51" s="30" t="str">
        <f t="shared" si="297"/>
        <v>✅ ราคาต่ำเมื่อเทียบกับ Growth</v>
      </c>
      <c r="CN51" s="30" t="str">
        <f t="shared" si="297"/>
        <v>✅ ราคาต่ำเมื่อเทียบกับ Growth</v>
      </c>
      <c r="CO51" s="30" t="str">
        <f t="shared" si="297"/>
        <v>✅ ราคาต่ำเมื่อเทียบกับ Growth</v>
      </c>
      <c r="CP51" s="30" t="str">
        <f t="shared" si="297"/>
        <v>✅ ราคาต่ำเมื่อเทียบกับ Growth</v>
      </c>
      <c r="CQ51" s="30" t="str">
        <f t="shared" si="297"/>
        <v>✅ ราคาต่ำเมื่อเทียบกับ Growth</v>
      </c>
      <c r="CR51" s="30" t="str">
        <f t="shared" si="297"/>
        <v>✅ ราคาต่ำเมื่อเทียบกับ Growth</v>
      </c>
      <c r="CS51" s="30" t="str">
        <f t="shared" si="297"/>
        <v>✅ ราคาต่ำเมื่อเทียบกับ Growth</v>
      </c>
      <c r="CT51" s="30" t="str">
        <f t="shared" si="297"/>
        <v>✅ ราคาต่ำเมื่อเทียบกับ Growth</v>
      </c>
      <c r="CU51" s="30" t="str">
        <f t="shared" si="297"/>
        <v>✅ ราคาต่ำเมื่อเทียบกับ Growth</v>
      </c>
      <c r="CV51" s="30" t="str">
        <f t="shared" si="297"/>
        <v>✅ ราคาต่ำเมื่อเทียบกับ Growth</v>
      </c>
      <c r="CW51" s="30" t="str">
        <f t="shared" si="297"/>
        <v>✅ ราคาต่ำเมื่อเทียบกับ Growth</v>
      </c>
      <c r="CX51" s="30" t="str">
        <f t="shared" si="297"/>
        <v>✅ ราคาต่ำเมื่อเทียบกับ Growth</v>
      </c>
      <c r="CY51" s="30" t="str">
        <f t="shared" si="297"/>
        <v>✅ ราคาต่ำเมื่อเทียบกับ Growth</v>
      </c>
      <c r="CZ51" s="30" t="str">
        <f t="shared" si="297"/>
        <v>✅ ราคาต่ำเมื่อเทียบกับ Growth</v>
      </c>
      <c r="DA51" s="30" t="str">
        <f t="shared" si="297"/>
        <v>✅ ราคาต่ำเมื่อเทียบกับ Growth</v>
      </c>
      <c r="DB51" s="30" t="str">
        <f t="shared" si="297"/>
        <v>✅ ราคาต่ำเมื่อเทียบกับ Growth</v>
      </c>
      <c r="DC51" s="30" t="str">
        <f t="shared" si="297"/>
        <v>✅ ราคาต่ำเมื่อเทียบกับ Growth</v>
      </c>
      <c r="DD51" s="30" t="str">
        <f t="shared" si="297"/>
        <v>✅ ราคาต่ำเมื่อเทียบกับ Growth</v>
      </c>
      <c r="DE51" s="30" t="str">
        <f t="shared" si="297"/>
        <v>✅ ราคาต่ำเมื่อเทียบกับ Growth</v>
      </c>
      <c r="DF51" s="30" t="str">
        <f t="shared" si="297"/>
        <v>✅ ราคาต่ำเมื่อเทียบกับ Growth</v>
      </c>
      <c r="DG51" s="30" t="str">
        <f t="shared" si="297"/>
        <v>✅ ราคาต่ำเมื่อเทียบกับ Growth</v>
      </c>
      <c r="DH51" s="30" t="str">
        <f t="shared" si="297"/>
        <v>✅ ราคาต่ำเมื่อเทียบกับ Growth</v>
      </c>
      <c r="DI51" s="30" t="str">
        <f t="shared" si="297"/>
        <v>✅ ราคาต่ำเมื่อเทียบกับ Growth</v>
      </c>
      <c r="DJ51" s="30" t="str">
        <f t="shared" si="297"/>
        <v>✅ ราคาต่ำเมื่อเทียบกับ Growth</v>
      </c>
      <c r="DK51" s="30" t="str">
        <f t="shared" si="297"/>
        <v>✅ ราคาต่ำเมื่อเทียบกับ Growth</v>
      </c>
      <c r="DL51" s="30" t="str">
        <f t="shared" si="297"/>
        <v>✅ ราคาต่ำเมื่อเทียบกับ Growth</v>
      </c>
      <c r="DM51" s="30" t="str">
        <f t="shared" si="297"/>
        <v>✅ ราคาต่ำเมื่อเทียบกับ Growth</v>
      </c>
      <c r="DN51" s="30" t="str">
        <f t="shared" si="297"/>
        <v>✅ ราคาต่ำเมื่อเทียบกับ Growth</v>
      </c>
      <c r="DO51" s="30" t="str">
        <f t="shared" si="297"/>
        <v>✅ ราคาต่ำเมื่อเทียบกับ Growth</v>
      </c>
      <c r="DP51" s="30" t="str">
        <f t="shared" si="297"/>
        <v>✅ ราคาต่ำเมื่อเทียบกับ Growth</v>
      </c>
      <c r="DQ51" s="30" t="str">
        <f t="shared" si="297"/>
        <v>✅ ราคาต่ำเมื่อเทียบกับ Growth</v>
      </c>
      <c r="DR51" s="30" t="str">
        <f t="shared" si="297"/>
        <v>✅ ราคาต่ำเมื่อเทียบกับ Growth</v>
      </c>
      <c r="DS51" s="30" t="str">
        <f t="shared" si="297"/>
        <v>✅ ราคาต่ำเมื่อเทียบกับ Growth</v>
      </c>
      <c r="DT51" s="30" t="str">
        <f t="shared" si="297"/>
        <v>✅ ราคาต่ำเมื่อเทียบกับ Growth</v>
      </c>
      <c r="DU51" s="30" t="str">
        <f t="shared" si="297"/>
        <v>✅ ราคาต่ำเมื่อเทียบกับ Growth</v>
      </c>
      <c r="DV51" s="30" t="str">
        <f t="shared" si="297"/>
        <v>✅ ราคาต่ำเมื่อเทียบกับ Growth</v>
      </c>
      <c r="DW51" s="30" t="str">
        <f t="shared" si="297"/>
        <v>✅ ราคาต่ำเมื่อเทียบกับ Growth</v>
      </c>
      <c r="DX51" s="30" t="str">
        <f t="shared" ref="DX51:FA51" si="298">IF((DX22/DX7)&lt;1, "✅ ราคาต่ำเมื่อเทียบกับ Growth", "✘ ราคานำหน้า Growth")</f>
        <v>✅ ราคาต่ำเมื่อเทียบกับ Growth</v>
      </c>
      <c r="DY51" s="30" t="str">
        <f t="shared" si="298"/>
        <v>✅ ราคาต่ำเมื่อเทียบกับ Growth</v>
      </c>
      <c r="DZ51" s="30" t="str">
        <f t="shared" si="298"/>
        <v>✅ ราคาต่ำเมื่อเทียบกับ Growth</v>
      </c>
      <c r="EA51" s="30" t="str">
        <f t="shared" si="298"/>
        <v>✅ ราคาต่ำเมื่อเทียบกับ Growth</v>
      </c>
      <c r="EB51" s="30" t="str">
        <f t="shared" si="298"/>
        <v>✅ ราคาต่ำเมื่อเทียบกับ Growth</v>
      </c>
      <c r="EC51" s="30" t="str">
        <f t="shared" si="298"/>
        <v>✅ ราคาต่ำเมื่อเทียบกับ Growth</v>
      </c>
      <c r="ED51" s="30" t="str">
        <f t="shared" si="298"/>
        <v>✅ ราคาต่ำเมื่อเทียบกับ Growth</v>
      </c>
      <c r="EE51" s="30" t="str">
        <f t="shared" si="298"/>
        <v>✅ ราคาต่ำเมื่อเทียบกับ Growth</v>
      </c>
      <c r="EF51" s="30" t="str">
        <f t="shared" si="298"/>
        <v>✅ ราคาต่ำเมื่อเทียบกับ Growth</v>
      </c>
      <c r="EG51" s="30" t="str">
        <f t="shared" si="298"/>
        <v>✅ ราคาต่ำเมื่อเทียบกับ Growth</v>
      </c>
      <c r="EH51" s="30" t="str">
        <f t="shared" si="298"/>
        <v>✅ ราคาต่ำเมื่อเทียบกับ Growth</v>
      </c>
      <c r="EI51" s="30" t="str">
        <f t="shared" si="298"/>
        <v>✅ ราคาต่ำเมื่อเทียบกับ Growth</v>
      </c>
      <c r="EJ51" s="30" t="str">
        <f t="shared" si="298"/>
        <v>✅ ราคาต่ำเมื่อเทียบกับ Growth</v>
      </c>
      <c r="EK51" s="30" t="str">
        <f t="shared" si="298"/>
        <v>✅ ราคาต่ำเมื่อเทียบกับ Growth</v>
      </c>
      <c r="EL51" s="30" t="str">
        <f t="shared" si="298"/>
        <v>✅ ราคาต่ำเมื่อเทียบกับ Growth</v>
      </c>
      <c r="EM51" s="30" t="str">
        <f t="shared" si="298"/>
        <v>✅ ราคาต่ำเมื่อเทียบกับ Growth</v>
      </c>
      <c r="EN51" s="30" t="str">
        <f t="shared" si="298"/>
        <v>✅ ราคาต่ำเมื่อเทียบกับ Growth</v>
      </c>
      <c r="EO51" s="44" t="e">
        <f t="shared" si="298"/>
        <v>#DIV/0!</v>
      </c>
      <c r="EZ51" s="41" t="str">
        <f t="shared" si="298"/>
        <v>✅ ราคาต่ำเมื่อเทียบกับ Growth</v>
      </c>
      <c r="FA51" s="30" t="str">
        <f t="shared" si="298"/>
        <v>✅ ราคาต่ำเมื่อเทียบกับ Growth</v>
      </c>
      <c r="FB51" s="30" t="str">
        <f t="shared" ref="FB51:HM51" si="299">IF((FB22/FB7)&lt;1, "✅ ราคาต่ำเมื่อเทียบกับ Growth", "✘ ราคานำหน้า Growth")</f>
        <v>✅ ราคาต่ำเมื่อเทียบกับ Growth</v>
      </c>
      <c r="FC51" s="30" t="str">
        <f t="shared" si="299"/>
        <v>✅ ราคาต่ำเมื่อเทียบกับ Growth</v>
      </c>
      <c r="FD51" s="30" t="str">
        <f t="shared" si="299"/>
        <v>✅ ราคาต่ำเมื่อเทียบกับ Growth</v>
      </c>
      <c r="FE51" s="30" t="str">
        <f t="shared" si="299"/>
        <v>✅ ราคาต่ำเมื่อเทียบกับ Growth</v>
      </c>
      <c r="FF51" s="30" t="str">
        <f t="shared" si="299"/>
        <v>✅ ราคาต่ำเมื่อเทียบกับ Growth</v>
      </c>
      <c r="FG51" s="30" t="str">
        <f t="shared" si="299"/>
        <v>✅ ราคาต่ำเมื่อเทียบกับ Growth</v>
      </c>
      <c r="FH51" s="30" t="str">
        <f t="shared" si="299"/>
        <v>✅ ราคาต่ำเมื่อเทียบกับ Growth</v>
      </c>
      <c r="FI51" s="30" t="str">
        <f t="shared" si="299"/>
        <v>✅ ราคาต่ำเมื่อเทียบกับ Growth</v>
      </c>
      <c r="FJ51" s="30" t="str">
        <f t="shared" si="299"/>
        <v>✅ ราคาต่ำเมื่อเทียบกับ Growth</v>
      </c>
      <c r="FK51" s="30" t="str">
        <f t="shared" si="299"/>
        <v>✅ ราคาต่ำเมื่อเทียบกับ Growth</v>
      </c>
      <c r="FL51" s="30" t="str">
        <f t="shared" si="299"/>
        <v>✅ ราคาต่ำเมื่อเทียบกับ Growth</v>
      </c>
      <c r="FM51" s="30" t="str">
        <f t="shared" si="299"/>
        <v>✅ ราคาต่ำเมื่อเทียบกับ Growth</v>
      </c>
      <c r="FN51" s="30" t="str">
        <f t="shared" si="299"/>
        <v>✅ ราคาต่ำเมื่อเทียบกับ Growth</v>
      </c>
      <c r="FO51" s="30" t="str">
        <f t="shared" si="299"/>
        <v>✅ ราคาต่ำเมื่อเทียบกับ Growth</v>
      </c>
      <c r="FP51" s="30" t="str">
        <f t="shared" si="299"/>
        <v>✅ ราคาต่ำเมื่อเทียบกับ Growth</v>
      </c>
      <c r="FQ51" s="30" t="str">
        <f t="shared" si="299"/>
        <v>✅ ราคาต่ำเมื่อเทียบกับ Growth</v>
      </c>
      <c r="FR51" s="30" t="str">
        <f t="shared" si="299"/>
        <v>✅ ราคาต่ำเมื่อเทียบกับ Growth</v>
      </c>
      <c r="FS51" s="30" t="str">
        <f t="shared" si="299"/>
        <v>✅ ราคาต่ำเมื่อเทียบกับ Growth</v>
      </c>
      <c r="FT51" s="30" t="str">
        <f t="shared" si="299"/>
        <v>✅ ราคาต่ำเมื่อเทียบกับ Growth</v>
      </c>
      <c r="FU51" s="30" t="str">
        <f t="shared" si="299"/>
        <v>✅ ราคาต่ำเมื่อเทียบกับ Growth</v>
      </c>
      <c r="FV51" s="30" t="str">
        <f t="shared" si="299"/>
        <v>✅ ราคาต่ำเมื่อเทียบกับ Growth</v>
      </c>
      <c r="FW51" s="30" t="str">
        <f t="shared" si="299"/>
        <v>✅ ราคาต่ำเมื่อเทียบกับ Growth</v>
      </c>
      <c r="FX51" s="30" t="str">
        <f t="shared" si="299"/>
        <v>✅ ราคาต่ำเมื่อเทียบกับ Growth</v>
      </c>
      <c r="FY51" s="30" t="str">
        <f t="shared" si="299"/>
        <v>✅ ราคาต่ำเมื่อเทียบกับ Growth</v>
      </c>
      <c r="FZ51" s="30" t="str">
        <f t="shared" si="299"/>
        <v>✅ ราคาต่ำเมื่อเทียบกับ Growth</v>
      </c>
      <c r="GA51" s="30" t="str">
        <f t="shared" si="299"/>
        <v>✅ ราคาต่ำเมื่อเทียบกับ Growth</v>
      </c>
      <c r="GB51" s="30" t="str">
        <f t="shared" si="299"/>
        <v>✅ ราคาต่ำเมื่อเทียบกับ Growth</v>
      </c>
      <c r="GC51" s="30" t="str">
        <f t="shared" si="299"/>
        <v>✅ ราคาต่ำเมื่อเทียบกับ Growth</v>
      </c>
      <c r="GD51" s="30" t="str">
        <f t="shared" si="299"/>
        <v>✅ ราคาต่ำเมื่อเทียบกับ Growth</v>
      </c>
      <c r="GE51" s="30" t="str">
        <f t="shared" si="299"/>
        <v>✅ ราคาต่ำเมื่อเทียบกับ Growth</v>
      </c>
      <c r="GF51" s="30" t="str">
        <f t="shared" si="299"/>
        <v>✅ ราคาต่ำเมื่อเทียบกับ Growth</v>
      </c>
      <c r="GG51" s="30" t="str">
        <f t="shared" si="299"/>
        <v>✅ ราคาต่ำเมื่อเทียบกับ Growth</v>
      </c>
      <c r="GH51" s="30" t="str">
        <f t="shared" si="299"/>
        <v>✅ ราคาต่ำเมื่อเทียบกับ Growth</v>
      </c>
      <c r="GI51" s="30" t="str">
        <f t="shared" si="299"/>
        <v>✅ ราคาต่ำเมื่อเทียบกับ Growth</v>
      </c>
      <c r="GJ51" s="30" t="str">
        <f t="shared" si="299"/>
        <v>✅ ราคาต่ำเมื่อเทียบกับ Growth</v>
      </c>
      <c r="GK51" s="30" t="str">
        <f t="shared" si="299"/>
        <v>✅ ราคาต่ำเมื่อเทียบกับ Growth</v>
      </c>
      <c r="GL51" s="30" t="str">
        <f t="shared" si="299"/>
        <v>✅ ราคาต่ำเมื่อเทียบกับ Growth</v>
      </c>
      <c r="GM51" s="30" t="str">
        <f t="shared" si="299"/>
        <v>✅ ราคาต่ำเมื่อเทียบกับ Growth</v>
      </c>
      <c r="GN51" s="30" t="str">
        <f t="shared" si="299"/>
        <v>✅ ราคาต่ำเมื่อเทียบกับ Growth</v>
      </c>
      <c r="GO51" s="30" t="str">
        <f t="shared" si="299"/>
        <v>✅ ราคาต่ำเมื่อเทียบกับ Growth</v>
      </c>
      <c r="GP51" s="30" t="str">
        <f t="shared" si="299"/>
        <v>✅ ราคาต่ำเมื่อเทียบกับ Growth</v>
      </c>
      <c r="GQ51" s="30" t="str">
        <f t="shared" si="299"/>
        <v>✅ ราคาต่ำเมื่อเทียบกับ Growth</v>
      </c>
      <c r="GR51" s="30" t="str">
        <f t="shared" si="299"/>
        <v>✅ ราคาต่ำเมื่อเทียบกับ Growth</v>
      </c>
      <c r="GS51" s="30" t="str">
        <f t="shared" si="299"/>
        <v>✅ ราคาต่ำเมื่อเทียบกับ Growth</v>
      </c>
      <c r="GT51" s="30" t="e">
        <f t="shared" si="299"/>
        <v>#DIV/0!</v>
      </c>
      <c r="GU51" s="30" t="e">
        <f t="shared" si="299"/>
        <v>#DIV/0!</v>
      </c>
      <c r="GV51" s="30" t="e">
        <f t="shared" si="299"/>
        <v>#DIV/0!</v>
      </c>
      <c r="GW51" s="30" t="e">
        <f t="shared" si="299"/>
        <v>#DIV/0!</v>
      </c>
      <c r="GX51" s="30" t="e">
        <f t="shared" si="299"/>
        <v>#DIV/0!</v>
      </c>
      <c r="GY51" s="30" t="e">
        <f t="shared" si="299"/>
        <v>#DIV/0!</v>
      </c>
      <c r="GZ51" s="30" t="e">
        <f t="shared" si="299"/>
        <v>#DIV/0!</v>
      </c>
      <c r="HA51" s="30" t="e">
        <f t="shared" si="299"/>
        <v>#DIV/0!</v>
      </c>
      <c r="HB51" s="30" t="str">
        <f t="shared" si="299"/>
        <v>✅ ราคาต่ำเมื่อเทียบกับ Growth</v>
      </c>
      <c r="HC51" s="30" t="str">
        <f t="shared" si="299"/>
        <v>✅ ราคาต่ำเมื่อเทียบกับ Growth</v>
      </c>
      <c r="HD51" s="30" t="str">
        <f t="shared" si="299"/>
        <v>✅ ราคาต่ำเมื่อเทียบกับ Growth</v>
      </c>
      <c r="HE51" s="30" t="str">
        <f t="shared" si="299"/>
        <v>✅ ราคาต่ำเมื่อเทียบกับ Growth</v>
      </c>
      <c r="HF51" s="30" t="str">
        <f t="shared" si="299"/>
        <v>✅ ราคาต่ำเมื่อเทียบกับ Growth</v>
      </c>
      <c r="HG51" s="30" t="str">
        <f t="shared" si="299"/>
        <v>✅ ราคาต่ำเมื่อเทียบกับ Growth</v>
      </c>
      <c r="HH51" s="30" t="str">
        <f t="shared" si="299"/>
        <v>✅ ราคาต่ำเมื่อเทียบกับ Growth</v>
      </c>
      <c r="HI51" s="30" t="str">
        <f t="shared" si="299"/>
        <v>✅ ราคาต่ำเมื่อเทียบกับ Growth</v>
      </c>
      <c r="HJ51" s="30" t="e">
        <f t="shared" si="299"/>
        <v>#DIV/0!</v>
      </c>
      <c r="HK51" s="30" t="str">
        <f t="shared" si="299"/>
        <v>✅ ราคาต่ำเมื่อเทียบกับ Growth</v>
      </c>
      <c r="HL51" s="30" t="str">
        <f t="shared" si="299"/>
        <v>✅ ราคาต่ำเมื่อเทียบกับ Growth</v>
      </c>
      <c r="HM51" s="30" t="str">
        <f t="shared" si="299"/>
        <v>✅ ราคาต่ำเมื่อเทียบกับ Growth</v>
      </c>
      <c r="HN51" s="30" t="str">
        <f t="shared" ref="HN51:HP51" si="300">IF((HN22/HN7)&lt;1, "✅ ราคาต่ำเมื่อเทียบกับ Growth", "✘ ราคานำหน้า Growth")</f>
        <v>✅ ราคาต่ำเมื่อเทียบกับ Growth</v>
      </c>
      <c r="HO51" s="30" t="str">
        <f t="shared" si="300"/>
        <v>✅ ราคาต่ำเมื่อเทียบกับ Growth</v>
      </c>
      <c r="HP51" s="30" t="str">
        <f t="shared" si="300"/>
        <v>✅ ราคาต่ำเมื่อเทียบกับ Growth</v>
      </c>
      <c r="HQ51" s="30" t="str">
        <f t="shared" ref="HQ51:HV51" si="301">IF((HQ22/HQ7)&lt;1, "✅ ราคาต่ำเมื่อเทียบกับ Growth", "✘ ราคานำหน้า Growth")</f>
        <v>✅ ราคาต่ำเมื่อเทียบกับ Growth</v>
      </c>
      <c r="HR51" s="30" t="str">
        <f t="shared" si="301"/>
        <v>✅ ราคาต่ำเมื่อเทียบกับ Growth</v>
      </c>
      <c r="HS51" s="30" t="str">
        <f t="shared" si="301"/>
        <v>✅ ราคาต่ำเมื่อเทียบกับ Growth</v>
      </c>
      <c r="HT51" s="30" t="str">
        <f t="shared" si="301"/>
        <v>✅ ราคาต่ำเมื่อเทียบกับ Growth</v>
      </c>
      <c r="HU51" s="30" t="str">
        <f t="shared" si="301"/>
        <v>✅ ราคาต่ำเมื่อเทียบกับ Growth</v>
      </c>
      <c r="HV51" s="30" t="str">
        <f t="shared" si="301"/>
        <v>✅ ราคาต่ำเมื่อเทียบกับ Growth</v>
      </c>
      <c r="HW51" s="30" t="str">
        <f t="shared" ref="HW51:HX51" si="302">IF((HW22/HW7)&lt;1, "✅ ราคาต่ำเมื่อเทียบกับ Growth", "✘ ราคานำหน้า Growth")</f>
        <v>✅ ราคาต่ำเมื่อเทียบกับ Growth</v>
      </c>
      <c r="HX51" s="30" t="str">
        <f t="shared" ref="HX51:HY51" si="303">IF((HX22/HX7)&lt;1, "✅ ราคาต่ำเมื่อเทียบกับ Growth", "✘ ราคานำหน้า Growth")</f>
        <v>✅ ราคาต่ำเมื่อเทียบกับ Growth</v>
      </c>
      <c r="HY51" s="30" t="str">
        <f t="shared" si="303"/>
        <v>✅ ราคาต่ำเมื่อเทียบกับ Growth</v>
      </c>
    </row>
    <row r="52" spans="1:233" ht="19.8" x14ac:dyDescent="0.5">
      <c r="A52" s="47"/>
      <c r="B52" s="10"/>
    </row>
    <row r="53" spans="1:233" x14ac:dyDescent="0.5">
      <c r="C53" s="48" t="s">
        <v>227</v>
      </c>
      <c r="D53" s="48" t="s">
        <v>227</v>
      </c>
      <c r="E53" s="48" t="s">
        <v>227</v>
      </c>
      <c r="F53" s="48" t="s">
        <v>227</v>
      </c>
      <c r="G53" s="48" t="s">
        <v>227</v>
      </c>
      <c r="H53" s="48" t="s">
        <v>227</v>
      </c>
      <c r="I53" s="48" t="s">
        <v>227</v>
      </c>
      <c r="J53" s="48" t="s">
        <v>227</v>
      </c>
      <c r="K53" s="48" t="s">
        <v>227</v>
      </c>
      <c r="L53" s="48" t="s">
        <v>227</v>
      </c>
      <c r="M53" s="48" t="s">
        <v>227</v>
      </c>
      <c r="N53" s="48" t="s">
        <v>227</v>
      </c>
      <c r="O53" s="48" t="s">
        <v>227</v>
      </c>
      <c r="P53" s="48" t="s">
        <v>227</v>
      </c>
      <c r="Q53" s="48" t="s">
        <v>227</v>
      </c>
      <c r="R53" s="48" t="s">
        <v>227</v>
      </c>
      <c r="S53" s="48" t="s">
        <v>227</v>
      </c>
      <c r="T53" s="48" t="s">
        <v>227</v>
      </c>
      <c r="U53" s="48" t="s">
        <v>227</v>
      </c>
      <c r="V53" s="48" t="s">
        <v>227</v>
      </c>
      <c r="W53" s="48" t="s">
        <v>227</v>
      </c>
      <c r="X53" s="48" t="s">
        <v>227</v>
      </c>
      <c r="Y53" s="48" t="s">
        <v>227</v>
      </c>
      <c r="Z53" s="48" t="s">
        <v>227</v>
      </c>
      <c r="AA53" s="48" t="s">
        <v>227</v>
      </c>
      <c r="AB53" s="48" t="s">
        <v>227</v>
      </c>
      <c r="BK53" s="15" t="s">
        <v>228</v>
      </c>
      <c r="FA53" s="15" t="s">
        <v>229</v>
      </c>
      <c r="FO53" s="15" t="s">
        <v>230</v>
      </c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 t="s">
        <v>230</v>
      </c>
      <c r="GE53" s="15"/>
      <c r="GF53" s="15"/>
      <c r="GG53" s="15"/>
      <c r="GH53" s="15"/>
      <c r="GI53" s="15"/>
      <c r="GJ53" s="15" t="s">
        <v>230</v>
      </c>
    </row>
    <row r="57" spans="1:233" x14ac:dyDescent="0.5">
      <c r="C57">
        <f>COUNTIF(C50:HW50, "ดีมาก: ROE สูงมาก หนี้ต่ำ")</f>
        <v>6</v>
      </c>
    </row>
  </sheetData>
  <mergeCells count="3">
    <mergeCell ref="A40:A51"/>
    <mergeCell ref="GQ1:GS1"/>
    <mergeCell ref="GT1:G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2908-6242-41DC-9AEB-AB46C783A7C6}">
  <dimension ref="A1"/>
  <sheetViews>
    <sheetView workbookViewId="0">
      <selection activeCell="D16" sqref="D16"/>
    </sheetView>
  </sheetViews>
  <sheetFormatPr defaultRowHeight="16.8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6DD2522C735C4290DDBDD45A3B571C" ma:contentTypeVersion="10" ma:contentTypeDescription="Create a new document." ma:contentTypeScope="" ma:versionID="8016ad61ed037e7c6547db66e1ee3e67">
  <xsd:schema xmlns:xsd="http://www.w3.org/2001/XMLSchema" xmlns:xs="http://www.w3.org/2001/XMLSchema" xmlns:p="http://schemas.microsoft.com/office/2006/metadata/properties" xmlns:ns3="591215e4-6a33-45dc-9c44-38e990f6aba8" targetNamespace="http://schemas.microsoft.com/office/2006/metadata/properties" ma:root="true" ma:fieldsID="2d835501510e032b055d84b6839ab423" ns3:_="">
    <xsd:import namespace="591215e4-6a33-45dc-9c44-38e990f6ab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1215e4-6a33-45dc-9c44-38e990f6a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1215e4-6a33-45dc-9c44-38e990f6aba8" xsi:nil="true"/>
  </documentManagement>
</p:properties>
</file>

<file path=customXml/itemProps1.xml><?xml version="1.0" encoding="utf-8"?>
<ds:datastoreItem xmlns:ds="http://schemas.openxmlformats.org/officeDocument/2006/customXml" ds:itemID="{3D2EA9B0-D024-4F08-9261-58E4A5CE0B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D56435-6F54-4B35-8EB0-0620234150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1215e4-6a33-45dc-9c44-38e990f6ab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3D9F1C-10FA-4AA2-ABFE-8C56401F4651}">
  <ds:schemaRefs>
    <ds:schemaRef ds:uri="http://purl.org/dc/terms/"/>
    <ds:schemaRef ds:uri="http://schemas.openxmlformats.org/package/2006/metadata/core-properties"/>
    <ds:schemaRef ds:uri="http://www.w3.org/XML/1998/namespace"/>
    <ds:schemaRef ds:uri="591215e4-6a33-45dc-9c44-38e990f6aba8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PATIWAT SEEAMPAI</dc:creator>
  <cp:lastModifiedBy>PATIWAT SEEAMPAI</cp:lastModifiedBy>
  <dcterms:created xsi:type="dcterms:W3CDTF">2025-11-05T09:21:28Z</dcterms:created>
  <dcterms:modified xsi:type="dcterms:W3CDTF">2026-05-06T07:20:03Z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0x0101007B6DD2522C735C4290DDBDD45A3B571C</vt:lpwstr>
  </property>
</Properties>
</file>